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33" documentId="8_{03B6A92A-78C7-48E8-A748-855505A7D0E2}" xr6:coauthVersionLast="47" xr6:coauthVersionMax="47" xr10:uidLastSave="{CFE1D5AD-C714-4F12-B14D-F0847808212D}"/>
  <bookViews>
    <workbookView xWindow="33480" yWindow="-120" windowWidth="29040" windowHeight="15720" xr2:uid="{00000000-000D-0000-FFFF-FFFF00000000}"/>
  </bookViews>
  <sheets>
    <sheet name="Current Market XLS+ 02.03.26" sheetId="42" r:id="rId1"/>
    <sheet name="12 Month Sales History XLS+ 10" sheetId="44" r:id="rId2"/>
    <sheet name="Excel Value Analysis 01.07.26" sheetId="47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42" l="1"/>
  <c r="P26" i="42"/>
  <c r="J26" i="42"/>
  <c r="K26" i="42"/>
  <c r="I26" i="42"/>
  <c r="G26" i="42"/>
  <c r="H26" i="42"/>
  <c r="D26" i="42"/>
  <c r="D14" i="47"/>
  <c r="D21" i="47" s="1"/>
  <c r="D24" i="47" s="1"/>
  <c r="H24" i="47"/>
  <c r="H20" i="47"/>
  <c r="H15" i="47"/>
  <c r="H14" i="47"/>
  <c r="H16" i="47"/>
  <c r="H22" i="47" s="1"/>
  <c r="H18" i="47"/>
  <c r="G22" i="47"/>
  <c r="G21" i="47"/>
  <c r="G18" i="47"/>
  <c r="G17" i="47"/>
  <c r="F22" i="47"/>
  <c r="F21" i="47"/>
  <c r="F24" i="47" s="1"/>
  <c r="F19" i="47"/>
  <c r="F15" i="47"/>
  <c r="F14" i="47"/>
  <c r="D16" i="47"/>
  <c r="E21" i="47"/>
  <c r="E22" i="47"/>
  <c r="D57" i="44"/>
  <c r="Q57" i="44"/>
  <c r="P57" i="44"/>
  <c r="K57" i="44"/>
  <c r="J57" i="44"/>
  <c r="H57" i="44"/>
  <c r="G57" i="44"/>
  <c r="D22" i="47" l="1"/>
  <c r="H21" i="47"/>
</calcChain>
</file>

<file path=xl/sharedStrings.xml><?xml version="1.0" encoding="utf-8"?>
<sst xmlns="http://schemas.openxmlformats.org/spreadsheetml/2006/main" count="559" uniqueCount="182">
  <si>
    <t>Aircraft Basic Information</t>
  </si>
  <si>
    <t>Pricing &amp; DOM</t>
  </si>
  <si>
    <t>Airframe</t>
  </si>
  <si>
    <t>Mx Prog &amp; Insp. Due</t>
  </si>
  <si>
    <t>Paint &amp; Interior</t>
  </si>
  <si>
    <t>S/N</t>
  </si>
  <si>
    <t>YOM</t>
  </si>
  <si>
    <t>YOD</t>
  </si>
  <si>
    <t>Reg</t>
  </si>
  <si>
    <t>Location</t>
  </si>
  <si>
    <t>Ask/Take</t>
  </si>
  <si>
    <t>Status</t>
  </si>
  <si>
    <t>DOM</t>
  </si>
  <si>
    <t>TSN</t>
  </si>
  <si>
    <t>CSN</t>
  </si>
  <si>
    <t>APU TSN</t>
  </si>
  <si>
    <t>Engine</t>
  </si>
  <si>
    <t>Parts</t>
  </si>
  <si>
    <t>APU</t>
  </si>
  <si>
    <t>48 mo.</t>
  </si>
  <si>
    <t>Paint</t>
  </si>
  <si>
    <t>Interior</t>
  </si>
  <si>
    <t>Pax</t>
  </si>
  <si>
    <t>JSSI</t>
  </si>
  <si>
    <t>None</t>
  </si>
  <si>
    <t>ATG-4000</t>
  </si>
  <si>
    <t>-</t>
  </si>
  <si>
    <t>Belgium</t>
  </si>
  <si>
    <t>US-FL</t>
  </si>
  <si>
    <t>M/O</t>
  </si>
  <si>
    <t>ESP-GL</t>
  </si>
  <si>
    <t>MSP</t>
  </si>
  <si>
    <t>ATG-5000</t>
  </si>
  <si>
    <t>ESP-G</t>
  </si>
  <si>
    <t>US-NC</t>
  </si>
  <si>
    <t>US-GA</t>
  </si>
  <si>
    <t>PP</t>
  </si>
  <si>
    <t>MSP-G</t>
  </si>
  <si>
    <t>PA</t>
  </si>
  <si>
    <t>PA+</t>
  </si>
  <si>
    <t>AA</t>
  </si>
  <si>
    <t>US-TX</t>
  </si>
  <si>
    <t>TBD</t>
  </si>
  <si>
    <t>XLS</t>
  </si>
  <si>
    <t>PK-RJT</t>
  </si>
  <si>
    <t>Indonesia</t>
  </si>
  <si>
    <t>OO-SLM</t>
  </si>
  <si>
    <t>XLS+</t>
  </si>
  <si>
    <t>Brazil</t>
  </si>
  <si>
    <t>USA</t>
  </si>
  <si>
    <t>7T-VNC</t>
  </si>
  <si>
    <t>Algeria</t>
  </si>
  <si>
    <t>Germany</t>
  </si>
  <si>
    <t>Gen2</t>
  </si>
  <si>
    <t>N504KH</t>
  </si>
  <si>
    <t>Avg.</t>
  </si>
  <si>
    <t>Other</t>
  </si>
  <si>
    <t>Argentina</t>
  </si>
  <si>
    <t>US-PA</t>
  </si>
  <si>
    <t>Austria</t>
  </si>
  <si>
    <t>Value Item Reference</t>
  </si>
  <si>
    <t>Source</t>
  </si>
  <si>
    <t>Basic Information</t>
  </si>
  <si>
    <t>New Paint</t>
  </si>
  <si>
    <t>Leviate Estimate</t>
  </si>
  <si>
    <t>Available</t>
  </si>
  <si>
    <t>New Interior Softgoods</t>
  </si>
  <si>
    <t>ATG-2000</t>
  </si>
  <si>
    <t>AFTT</t>
  </si>
  <si>
    <t>Gogo L3 Wi-Fi</t>
  </si>
  <si>
    <t>Book Value</t>
  </si>
  <si>
    <t>Retail</t>
  </si>
  <si>
    <t>Gogo L5 Wi-Fi</t>
  </si>
  <si>
    <t>Wholesale</t>
  </si>
  <si>
    <t>FDR</t>
  </si>
  <si>
    <t>Add/Deduct</t>
  </si>
  <si>
    <t>Value Items</t>
  </si>
  <si>
    <t>2-Place Divan</t>
  </si>
  <si>
    <t>Wi-Fi</t>
  </si>
  <si>
    <t>G5000</t>
  </si>
  <si>
    <t>Adjusted Book Value</t>
  </si>
  <si>
    <t>Summary</t>
  </si>
  <si>
    <t>Retail Spread</t>
  </si>
  <si>
    <t>Sale Price</t>
  </si>
  <si>
    <t>Sale Date</t>
  </si>
  <si>
    <t> </t>
  </si>
  <si>
    <t>Pricing &amp; Sale Date</t>
  </si>
  <si>
    <t>CITATION EXCEL VALUE COMPARISON</t>
  </si>
  <si>
    <t>Vref</t>
  </si>
  <si>
    <t>Reposition</t>
  </si>
  <si>
    <t>N43HF</t>
  </si>
  <si>
    <t>N906AC</t>
  </si>
  <si>
    <t>N632XL</t>
  </si>
  <si>
    <t>N504WG</t>
  </si>
  <si>
    <t>Ask Price</t>
  </si>
  <si>
    <t>N413SK</t>
  </si>
  <si>
    <t>N413GB</t>
  </si>
  <si>
    <t>N842A </t>
  </si>
  <si>
    <t>N301L</t>
  </si>
  <si>
    <t>UK</t>
  </si>
  <si>
    <t>N27XL</t>
  </si>
  <si>
    <t>N178LC</t>
  </si>
  <si>
    <t>N109TD</t>
  </si>
  <si>
    <t>N608BT</t>
  </si>
  <si>
    <t>N299DB</t>
  </si>
  <si>
    <t>N746PC</t>
  </si>
  <si>
    <t>OE-GEM</t>
  </si>
  <si>
    <t>OE-GZF</t>
  </si>
  <si>
    <t>N854AN</t>
  </si>
  <si>
    <t>D-CDDD</t>
  </si>
  <si>
    <t>US-NY</t>
  </si>
  <si>
    <t>N177HN</t>
  </si>
  <si>
    <t>LV-IWN</t>
  </si>
  <si>
    <t>N12JK</t>
  </si>
  <si>
    <t>Gen 2</t>
  </si>
  <si>
    <t>ESP-G Lte</t>
  </si>
  <si>
    <t>N868CG</t>
  </si>
  <si>
    <t>US-SC</t>
  </si>
  <si>
    <t>N620SJ</t>
  </si>
  <si>
    <t>N876UC</t>
  </si>
  <si>
    <t>N886BH</t>
  </si>
  <si>
    <t>N560GR</t>
  </si>
  <si>
    <t>ESP</t>
  </si>
  <si>
    <t>N560TE</t>
  </si>
  <si>
    <t>N577PS </t>
  </si>
  <si>
    <t>D-CNNN</t>
  </si>
  <si>
    <t>N270PR</t>
  </si>
  <si>
    <t>N511UP</t>
  </si>
  <si>
    <t>D-XXXX</t>
  </si>
  <si>
    <t>N901CB</t>
  </si>
  <si>
    <t>N255SM </t>
  </si>
  <si>
    <t xml:space="preserve">PA+ </t>
  </si>
  <si>
    <t>N546CS </t>
  </si>
  <si>
    <t>N811CE </t>
  </si>
  <si>
    <t>N82GT </t>
  </si>
  <si>
    <t>Honduras</t>
  </si>
  <si>
    <t>PS-MLV </t>
  </si>
  <si>
    <t>N177E</t>
  </si>
  <si>
    <t>N560WE</t>
  </si>
  <si>
    <t>F-HSFN</t>
  </si>
  <si>
    <t>France</t>
  </si>
  <si>
    <t>N933MR </t>
  </si>
  <si>
    <t>N411EC </t>
  </si>
  <si>
    <t>CS-RLI</t>
  </si>
  <si>
    <t>N346CC </t>
  </si>
  <si>
    <t>N831GL </t>
  </si>
  <si>
    <t>N560PV</t>
  </si>
  <si>
    <t>N640PJ</t>
  </si>
  <si>
    <t>N540PJ </t>
  </si>
  <si>
    <t>N35JM</t>
  </si>
  <si>
    <t>N528AC</t>
  </si>
  <si>
    <t>LQ-BMH</t>
  </si>
  <si>
    <t>N560MC </t>
  </si>
  <si>
    <t>N827JS </t>
  </si>
  <si>
    <t>N513VV </t>
  </si>
  <si>
    <t>WAAS/LPV</t>
  </si>
  <si>
    <t>Hot Section</t>
  </si>
  <si>
    <t>N915TM </t>
  </si>
  <si>
    <t>N328RP </t>
  </si>
  <si>
    <t>N533CC </t>
  </si>
  <si>
    <t>N534CC </t>
  </si>
  <si>
    <t>US-OR</t>
  </si>
  <si>
    <t>N694PH </t>
  </si>
  <si>
    <t>US-NV</t>
  </si>
  <si>
    <t>CASP</t>
  </si>
  <si>
    <t>N338HR </t>
  </si>
  <si>
    <t>US-IA</t>
  </si>
  <si>
    <t>N711LV</t>
  </si>
  <si>
    <t>N560VU</t>
  </si>
  <si>
    <t>N7TM</t>
  </si>
  <si>
    <t>N560DA</t>
  </si>
  <si>
    <t>N242JT</t>
  </si>
  <si>
    <t>Czechia</t>
  </si>
  <si>
    <t>N219AB</t>
  </si>
  <si>
    <t>D-CVFA</t>
  </si>
  <si>
    <t>N355SM</t>
  </si>
  <si>
    <t>N564HV</t>
  </si>
  <si>
    <t>N314CW</t>
  </si>
  <si>
    <t>N6TM</t>
  </si>
  <si>
    <t>RP-C8568</t>
  </si>
  <si>
    <t>Philippines</t>
  </si>
  <si>
    <t>N635XL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</si>
</sst>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m/yyyy"/>
    <numFmt numFmtId="165" formatCode="&quot;$&quot;#.00,,&quot;M&quot;"/>
    <numFmt numFmtId="166" formatCode="&quot;$&quot;#,##0"/>
    <numFmt numFmtId="167" formatCode="_(&quot;$&quot;* #,##0_);_(&quot;$&quot;* \(#,##0\);_(&quot;$&quot;* &quot;-&quot;??_);_(@_)"/>
    <numFmt numFmtId="168" formatCode="yyyy"/>
    <numFmt numFmtId="169" formatCode="&quot;$&quot;#.00&quot;M&quot;"/>
    <numFmt numFmtId="170" formatCode="mm/dd/yy;@"/>
    <numFmt numFmtId="171" formatCode="0.0%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Arial"/>
      <family val="2"/>
    </font>
    <font>
      <b/>
      <sz val="15"/>
      <color theme="0"/>
      <name val="Arial"/>
      <family val="2"/>
    </font>
    <font>
      <sz val="8"/>
      <color theme="1"/>
      <name val="Arial"/>
      <family val="2"/>
    </font>
    <font>
      <b/>
      <sz val="8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 Nova"/>
      <family val="2"/>
    </font>
    <font>
      <b/>
      <sz val="10"/>
      <color theme="0"/>
      <name val="Arial Nova"/>
      <family val="2"/>
    </font>
    <font>
      <sz val="10"/>
      <color theme="0"/>
      <name val="Arial Nova"/>
      <family val="2"/>
    </font>
    <font>
      <b/>
      <sz val="10"/>
      <name val="Arial Nova"/>
      <family val="2"/>
    </font>
    <font>
      <b/>
      <sz val="10"/>
      <name val="Raleway"/>
      <family val="2"/>
    </font>
    <font>
      <b/>
      <sz val="9"/>
      <name val="Raleway"/>
      <family val="2"/>
    </font>
    <font>
      <b/>
      <sz val="9"/>
      <color theme="0"/>
      <name val="Raleway"/>
      <family val="2"/>
    </font>
    <font>
      <b/>
      <sz val="9"/>
      <color theme="1"/>
      <name val="Raleway"/>
      <family val="2"/>
    </font>
    <font>
      <sz val="10"/>
      <color theme="1"/>
      <name val="Arial Nova"/>
      <family val="2"/>
    </font>
    <font>
      <b/>
      <sz val="10"/>
      <color theme="1"/>
      <name val="Arial Nova"/>
      <family val="2"/>
    </font>
    <font>
      <b/>
      <sz val="10"/>
      <color rgb="FFFFFFFF"/>
      <name val="Arial Nova"/>
      <family val="2"/>
    </font>
    <font>
      <sz val="10"/>
      <color rgb="FFFFFFFF"/>
      <name val="Arial Nova"/>
      <family val="2"/>
    </font>
    <font>
      <b/>
      <sz val="10"/>
      <color theme="1"/>
      <name val="Raleway"/>
      <family val="2"/>
    </font>
    <font>
      <b/>
      <sz val="8"/>
      <name val="Raleway"/>
      <family val="2"/>
    </font>
    <font>
      <sz val="10"/>
      <color theme="1"/>
      <name val="Arial Nova"/>
      <family val="2"/>
    </font>
    <font>
      <b/>
      <sz val="7"/>
      <color rgb="FF00B050"/>
      <name val="Calibri"/>
      <family val="2"/>
      <scheme val="minor"/>
    </font>
    <font>
      <sz val="10"/>
      <name val="Arial Nova"/>
      <family val="2"/>
    </font>
    <font>
      <sz val="11"/>
      <color rgb="FF333333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7D613B"/>
        <bgColor indexed="64"/>
      </patternFill>
    </fill>
    <fill>
      <patternFill patternType="solid">
        <fgColor rgb="FF4C3800"/>
        <bgColor indexed="64"/>
      </patternFill>
    </fill>
    <fill>
      <patternFill patternType="solid">
        <fgColor rgb="FF6DA3BB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4" applyNumberFormat="0" applyAlignment="0" applyProtection="0"/>
    <xf numFmtId="0" fontId="14" fillId="13" borderId="5" applyNumberFormat="0" applyAlignment="0" applyProtection="0"/>
    <xf numFmtId="0" fontId="15" fillId="13" borderId="4" applyNumberFormat="0" applyAlignment="0" applyProtection="0"/>
    <xf numFmtId="0" fontId="16" fillId="0" borderId="6" applyNumberFormat="0" applyFill="0" applyAlignment="0" applyProtection="0"/>
    <xf numFmtId="0" fontId="2" fillId="14" borderId="7" applyNumberFormat="0" applyAlignment="0" applyProtection="0"/>
    <xf numFmtId="0" fontId="17" fillId="0" borderId="0" applyNumberFormat="0" applyFill="0" applyBorder="0" applyAlignment="0" applyProtection="0"/>
    <xf numFmtId="0" fontId="5" fillId="15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3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6">
    <xf numFmtId="0" fontId="0" fillId="0" borderId="0" xfId="0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15" xfId="0" applyFont="1" applyBorder="1" applyAlignment="1">
      <alignment horizontal="center"/>
    </xf>
    <xf numFmtId="0" fontId="0" fillId="41" borderId="0" xfId="0" applyFill="1"/>
    <xf numFmtId="0" fontId="30" fillId="42" borderId="23" xfId="0" applyFont="1" applyFill="1" applyBorder="1" applyAlignment="1">
      <alignment horizontal="left" vertical="center"/>
    </xf>
    <xf numFmtId="0" fontId="32" fillId="42" borderId="24" xfId="0" applyFont="1" applyFill="1" applyBorder="1" applyAlignment="1">
      <alignment horizontal="center"/>
    </xf>
    <xf numFmtId="0" fontId="27" fillId="42" borderId="25" xfId="0" applyFont="1" applyFill="1" applyBorder="1" applyAlignment="1">
      <alignment horizontal="left" vertical="center"/>
    </xf>
    <xf numFmtId="0" fontId="22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44" borderId="12" xfId="0" applyFont="1" applyFill="1" applyBorder="1"/>
    <xf numFmtId="0" fontId="21" fillId="44" borderId="13" xfId="0" applyFont="1" applyFill="1" applyBorder="1" applyAlignment="1">
      <alignment horizontal="left"/>
    </xf>
    <xf numFmtId="0" fontId="22" fillId="0" borderId="20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6" fontId="21" fillId="0" borderId="10" xfId="0" applyNumberFormat="1" applyFont="1" applyBorder="1" applyAlignment="1">
      <alignment horizontal="center"/>
    </xf>
    <xf numFmtId="6" fontId="21" fillId="0" borderId="11" xfId="0" applyNumberFormat="1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6" fontId="21" fillId="0" borderId="15" xfId="0" applyNumberFormat="1" applyFont="1" applyBorder="1" applyAlignment="1">
      <alignment horizontal="center"/>
    </xf>
    <xf numFmtId="6" fontId="21" fillId="0" borderId="16" xfId="0" applyNumberFormat="1" applyFont="1" applyBorder="1" applyAlignment="1">
      <alignment horizontal="center"/>
    </xf>
    <xf numFmtId="6" fontId="21" fillId="0" borderId="0" xfId="0" applyNumberFormat="1" applyFont="1" applyAlignment="1">
      <alignment horizontal="center"/>
    </xf>
    <xf numFmtId="6" fontId="21" fillId="0" borderId="13" xfId="0" applyNumberFormat="1" applyFont="1" applyBorder="1" applyAlignment="1">
      <alignment horizontal="center"/>
    </xf>
    <xf numFmtId="6" fontId="29" fillId="0" borderId="0" xfId="0" applyNumberFormat="1" applyFont="1" applyAlignment="1">
      <alignment horizontal="center"/>
    </xf>
    <xf numFmtId="6" fontId="29" fillId="0" borderId="13" xfId="0" applyNumberFormat="1" applyFont="1" applyBorder="1" applyAlignment="1">
      <alignment horizontal="center"/>
    </xf>
    <xf numFmtId="0" fontId="22" fillId="44" borderId="14" xfId="0" applyFont="1" applyFill="1" applyBorder="1"/>
    <xf numFmtId="0" fontId="21" fillId="44" borderId="16" xfId="0" applyFont="1" applyFill="1" applyBorder="1" applyAlignment="1">
      <alignment horizontal="left"/>
    </xf>
    <xf numFmtId="6" fontId="22" fillId="40" borderId="10" xfId="0" applyNumberFormat="1" applyFont="1" applyFill="1" applyBorder="1" applyAlignment="1">
      <alignment horizontal="center"/>
    </xf>
    <xf numFmtId="6" fontId="21" fillId="40" borderId="15" xfId="0" applyNumberFormat="1" applyFont="1" applyFill="1" applyBorder="1" applyAlignment="1">
      <alignment horizontal="center"/>
    </xf>
    <xf numFmtId="6" fontId="22" fillId="0" borderId="0" xfId="0" applyNumberFormat="1" applyFont="1" applyAlignment="1">
      <alignment horizontal="center"/>
    </xf>
    <xf numFmtId="6" fontId="34" fillId="0" borderId="15" xfId="0" applyNumberFormat="1" applyFont="1" applyBorder="1" applyAlignment="1">
      <alignment horizontal="center"/>
    </xf>
    <xf numFmtId="6" fontId="34" fillId="0" borderId="16" xfId="0" applyNumberFormat="1" applyFont="1" applyBorder="1" applyAlignment="1">
      <alignment horizontal="center"/>
    </xf>
    <xf numFmtId="167" fontId="33" fillId="44" borderId="15" xfId="43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14" xfId="0" applyFont="1" applyFill="1" applyBorder="1" applyAlignment="1">
      <alignment horizontal="center"/>
    </xf>
    <xf numFmtId="6" fontId="22" fillId="40" borderId="11" xfId="0" applyNumberFormat="1" applyFont="1" applyFill="1" applyBorder="1" applyAlignment="1">
      <alignment horizontal="center"/>
    </xf>
    <xf numFmtId="6" fontId="21" fillId="40" borderId="16" xfId="0" applyNumberFormat="1" applyFont="1" applyFill="1" applyBorder="1" applyAlignment="1">
      <alignment horizontal="center"/>
    </xf>
    <xf numFmtId="166" fontId="33" fillId="44" borderId="0" xfId="43" applyNumberFormat="1" applyFont="1" applyFill="1" applyAlignment="1">
      <alignment horizontal="right"/>
    </xf>
    <xf numFmtId="167" fontId="33" fillId="44" borderId="0" xfId="43" applyNumberFormat="1" applyFont="1" applyFill="1" applyAlignment="1">
      <alignment horizontal="right"/>
    </xf>
    <xf numFmtId="6" fontId="33" fillId="44" borderId="15" xfId="43" applyNumberFormat="1" applyFont="1" applyFill="1" applyBorder="1" applyAlignment="1">
      <alignment horizontal="right"/>
    </xf>
    <xf numFmtId="0" fontId="22" fillId="0" borderId="30" xfId="0" applyFont="1" applyBorder="1" applyAlignment="1">
      <alignment horizontal="center"/>
    </xf>
    <xf numFmtId="6" fontId="22" fillId="0" borderId="11" xfId="0" applyNumberFormat="1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35" fillId="46" borderId="14" xfId="0" applyFont="1" applyFill="1" applyBorder="1"/>
    <xf numFmtId="0" fontId="37" fillId="3" borderId="15" xfId="0" applyFont="1" applyFill="1" applyBorder="1" applyAlignment="1">
      <alignment horizontal="center"/>
    </xf>
    <xf numFmtId="1" fontId="37" fillId="3" borderId="15" xfId="0" applyNumberFormat="1" applyFont="1" applyFill="1" applyBorder="1" applyAlignment="1">
      <alignment horizontal="center"/>
    </xf>
    <xf numFmtId="0" fontId="38" fillId="3" borderId="15" xfId="0" applyFont="1" applyFill="1" applyBorder="1" applyAlignment="1">
      <alignment horizontal="center"/>
    </xf>
    <xf numFmtId="165" fontId="37" fillId="3" borderId="15" xfId="0" applyNumberFormat="1" applyFont="1" applyFill="1" applyBorder="1" applyAlignment="1">
      <alignment horizontal="center"/>
    </xf>
    <xf numFmtId="1" fontId="37" fillId="3" borderId="19" xfId="0" applyNumberFormat="1" applyFont="1" applyFill="1" applyBorder="1" applyAlignment="1">
      <alignment horizontal="center"/>
    </xf>
    <xf numFmtId="0" fontId="41" fillId="41" borderId="29" xfId="0" applyFont="1" applyFill="1" applyBorder="1" applyAlignment="1">
      <alignment horizontal="center"/>
    </xf>
    <xf numFmtId="0" fontId="42" fillId="2" borderId="17" xfId="0" applyFont="1" applyFill="1" applyBorder="1" applyAlignment="1">
      <alignment horizontal="left" vertical="center"/>
    </xf>
    <xf numFmtId="0" fontId="42" fillId="2" borderId="18" xfId="0" applyFont="1" applyFill="1" applyBorder="1" applyAlignment="1">
      <alignment horizontal="left" vertical="center"/>
    </xf>
    <xf numFmtId="0" fontId="43" fillId="2" borderId="18" xfId="0" applyFont="1" applyFill="1" applyBorder="1" applyAlignment="1">
      <alignment horizontal="center"/>
    </xf>
    <xf numFmtId="0" fontId="42" fillId="4" borderId="18" xfId="0" applyFont="1" applyFill="1" applyBorder="1" applyAlignment="1">
      <alignment horizontal="left" vertical="center"/>
    </xf>
    <xf numFmtId="0" fontId="42" fillId="3" borderId="18" xfId="0" applyFont="1" applyFill="1" applyBorder="1" applyAlignment="1">
      <alignment vertical="center"/>
    </xf>
    <xf numFmtId="0" fontId="43" fillId="3" borderId="18" xfId="0" applyFont="1" applyFill="1" applyBorder="1" applyAlignment="1">
      <alignment horizontal="center"/>
    </xf>
    <xf numFmtId="0" fontId="41" fillId="8" borderId="18" xfId="0" applyFont="1" applyFill="1" applyBorder="1" applyAlignment="1">
      <alignment horizontal="left" vertical="center"/>
    </xf>
    <xf numFmtId="0" fontId="43" fillId="6" borderId="18" xfId="0" applyFont="1" applyFill="1" applyBorder="1" applyAlignment="1">
      <alignment horizontal="left" vertical="center"/>
    </xf>
    <xf numFmtId="0" fontId="44" fillId="41" borderId="29" xfId="0" applyFont="1" applyFill="1" applyBorder="1" applyAlignment="1">
      <alignment horizontal="center"/>
    </xf>
    <xf numFmtId="168" fontId="44" fillId="41" borderId="29" xfId="0" applyNumberFormat="1" applyFont="1" applyFill="1" applyBorder="1" applyAlignment="1">
      <alignment horizontal="center"/>
    </xf>
    <xf numFmtId="0" fontId="44" fillId="41" borderId="29" xfId="1" applyFont="1" applyFill="1" applyBorder="1" applyAlignment="1">
      <alignment horizontal="left"/>
    </xf>
    <xf numFmtId="0" fontId="44" fillId="41" borderId="29" xfId="0" applyFont="1" applyFill="1" applyBorder="1" applyAlignment="1">
      <alignment horizontal="left"/>
    </xf>
    <xf numFmtId="169" fontId="44" fillId="41" borderId="29" xfId="0" applyNumberFormat="1" applyFont="1" applyFill="1" applyBorder="1" applyAlignment="1">
      <alignment horizontal="center"/>
    </xf>
    <xf numFmtId="170" fontId="45" fillId="41" borderId="29" xfId="0" applyNumberFormat="1" applyFont="1" applyFill="1" applyBorder="1" applyAlignment="1">
      <alignment horizontal="center"/>
    </xf>
    <xf numFmtId="0" fontId="45" fillId="41" borderId="29" xfId="0" applyFont="1" applyFill="1" applyBorder="1"/>
    <xf numFmtId="164" fontId="44" fillId="41" borderId="29" xfId="0" applyNumberFormat="1" applyFont="1" applyFill="1" applyBorder="1" applyAlignment="1">
      <alignment horizontal="center"/>
    </xf>
    <xf numFmtId="170" fontId="44" fillId="41" borderId="29" xfId="0" applyNumberFormat="1" applyFont="1" applyFill="1" applyBorder="1" applyAlignment="1">
      <alignment horizontal="center"/>
    </xf>
    <xf numFmtId="0" fontId="44" fillId="41" borderId="29" xfId="0" applyFont="1" applyFill="1" applyBorder="1"/>
    <xf numFmtId="0" fontId="46" fillId="46" borderId="15" xfId="0" applyFont="1" applyFill="1" applyBorder="1"/>
    <xf numFmtId="168" fontId="46" fillId="46" borderId="15" xfId="0" applyNumberFormat="1" applyFont="1" applyFill="1" applyBorder="1" applyAlignment="1">
      <alignment horizontal="center"/>
    </xf>
    <xf numFmtId="0" fontId="47" fillId="46" borderId="15" xfId="0" applyFont="1" applyFill="1" applyBorder="1"/>
    <xf numFmtId="169" fontId="46" fillId="46" borderId="15" xfId="0" applyNumberFormat="1" applyFont="1" applyFill="1" applyBorder="1" applyAlignment="1">
      <alignment horizontal="center"/>
    </xf>
    <xf numFmtId="0" fontId="46" fillId="46" borderId="19" xfId="0" applyFont="1" applyFill="1" applyBorder="1"/>
    <xf numFmtId="0" fontId="42" fillId="47" borderId="18" xfId="0" applyFont="1" applyFill="1" applyBorder="1" applyAlignment="1">
      <alignment horizontal="left" vertical="center"/>
    </xf>
    <xf numFmtId="0" fontId="42" fillId="48" borderId="19" xfId="0" applyFont="1" applyFill="1" applyBorder="1" applyAlignment="1">
      <alignment horizontal="left" vertical="center"/>
    </xf>
    <xf numFmtId="0" fontId="43" fillId="41" borderId="29" xfId="0" applyFont="1" applyFill="1" applyBorder="1" applyAlignment="1">
      <alignment horizontal="center"/>
    </xf>
    <xf numFmtId="0" fontId="36" fillId="41" borderId="29" xfId="0" applyFont="1" applyFill="1" applyBorder="1" applyAlignment="1">
      <alignment horizontal="center" vertical="center"/>
    </xf>
    <xf numFmtId="0" fontId="36" fillId="41" borderId="29" xfId="1" applyFont="1" applyFill="1" applyBorder="1" applyAlignment="1">
      <alignment horizontal="left" vertical="center"/>
    </xf>
    <xf numFmtId="0" fontId="36" fillId="41" borderId="29" xfId="0" applyFont="1" applyFill="1" applyBorder="1" applyAlignment="1">
      <alignment horizontal="left" vertical="center"/>
    </xf>
    <xf numFmtId="165" fontId="36" fillId="41" borderId="29" xfId="0" applyNumberFormat="1" applyFont="1" applyFill="1" applyBorder="1" applyAlignment="1">
      <alignment horizontal="center" vertical="center"/>
    </xf>
    <xf numFmtId="0" fontId="36" fillId="41" borderId="29" xfId="0" applyFont="1" applyFill="1" applyBorder="1" applyAlignment="1">
      <alignment vertical="center"/>
    </xf>
    <xf numFmtId="164" fontId="36" fillId="41" borderId="29" xfId="0" applyNumberFormat="1" applyFont="1" applyFill="1" applyBorder="1" applyAlignment="1">
      <alignment horizontal="center" vertical="center"/>
    </xf>
    <xf numFmtId="0" fontId="39" fillId="41" borderId="29" xfId="0" applyFont="1" applyFill="1" applyBorder="1" applyAlignment="1">
      <alignment vertical="center"/>
    </xf>
    <xf numFmtId="0" fontId="42" fillId="49" borderId="19" xfId="0" applyFont="1" applyFill="1" applyBorder="1" applyAlignment="1">
      <alignment horizontal="left" vertical="center"/>
    </xf>
    <xf numFmtId="1" fontId="46" fillId="46" borderId="15" xfId="0" applyNumberFormat="1" applyFont="1" applyFill="1" applyBorder="1" applyAlignment="1">
      <alignment horizontal="center"/>
    </xf>
    <xf numFmtId="0" fontId="39" fillId="41" borderId="29" xfId="0" applyFont="1" applyFill="1" applyBorder="1" applyAlignment="1">
      <alignment horizontal="left" vertical="center"/>
    </xf>
    <xf numFmtId="0" fontId="44" fillId="41" borderId="22" xfId="0" applyFont="1" applyFill="1" applyBorder="1" applyAlignment="1">
      <alignment horizontal="center"/>
    </xf>
    <xf numFmtId="0" fontId="44" fillId="41" borderId="22" xfId="1" applyFont="1" applyFill="1" applyBorder="1" applyAlignment="1">
      <alignment horizontal="left"/>
    </xf>
    <xf numFmtId="0" fontId="44" fillId="41" borderId="22" xfId="0" applyFont="1" applyFill="1" applyBorder="1" applyAlignment="1">
      <alignment horizontal="left"/>
    </xf>
    <xf numFmtId="169" fontId="44" fillId="41" borderId="22" xfId="0" applyNumberFormat="1" applyFont="1" applyFill="1" applyBorder="1" applyAlignment="1">
      <alignment horizontal="center"/>
    </xf>
    <xf numFmtId="0" fontId="44" fillId="41" borderId="22" xfId="0" applyFont="1" applyFill="1" applyBorder="1"/>
    <xf numFmtId="164" fontId="44" fillId="41" borderId="22" xfId="0" applyNumberFormat="1" applyFont="1" applyFill="1" applyBorder="1" applyAlignment="1">
      <alignment horizontal="center"/>
    </xf>
    <xf numFmtId="0" fontId="50" fillId="41" borderId="29" xfId="1" applyFont="1" applyFill="1" applyBorder="1" applyAlignment="1">
      <alignment horizontal="left"/>
    </xf>
    <xf numFmtId="171" fontId="0" fillId="41" borderId="0" xfId="44" applyNumberFormat="1" applyFont="1" applyFill="1"/>
    <xf numFmtId="171" fontId="0" fillId="41" borderId="0" xfId="0" applyNumberFormat="1" applyFill="1"/>
    <xf numFmtId="170" fontId="44" fillId="41" borderId="22" xfId="0" applyNumberFormat="1" applyFont="1" applyFill="1" applyBorder="1" applyAlignment="1">
      <alignment horizontal="center"/>
    </xf>
    <xf numFmtId="0" fontId="51" fillId="0" borderId="11" xfId="0" applyFont="1" applyBorder="1" applyAlignment="1">
      <alignment horizontal="center"/>
    </xf>
    <xf numFmtId="0" fontId="52" fillId="41" borderId="29" xfId="1" applyFont="1" applyFill="1" applyBorder="1" applyAlignment="1">
      <alignment horizontal="left" vertical="center"/>
    </xf>
    <xf numFmtId="0" fontId="49" fillId="44" borderId="12" xfId="0" applyFont="1" applyFill="1" applyBorder="1" applyAlignment="1">
      <alignment horizontal="center" vertical="center" textRotation="90"/>
    </xf>
    <xf numFmtId="0" fontId="40" fillId="44" borderId="29" xfId="0" applyFont="1" applyFill="1" applyBorder="1" applyAlignment="1">
      <alignment vertical="center" textRotation="90"/>
    </xf>
    <xf numFmtId="0" fontId="23" fillId="3" borderId="21" xfId="0" applyFont="1" applyFill="1" applyBorder="1" applyAlignment="1">
      <alignment vertical="center"/>
    </xf>
    <xf numFmtId="0" fontId="23" fillId="3" borderId="22" xfId="0" applyFont="1" applyFill="1" applyBorder="1" applyAlignment="1">
      <alignment vertical="center"/>
    </xf>
    <xf numFmtId="0" fontId="23" fillId="3" borderId="20" xfId="0" applyFont="1" applyFill="1" applyBorder="1" applyAlignment="1">
      <alignment vertical="center"/>
    </xf>
    <xf numFmtId="0" fontId="51" fillId="0" borderId="0" xfId="0" applyFont="1" applyAlignment="1">
      <alignment horizontal="center"/>
    </xf>
    <xf numFmtId="0" fontId="30" fillId="49" borderId="23" xfId="0" applyFont="1" applyFill="1" applyBorder="1" applyAlignment="1">
      <alignment horizontal="left" vertical="center"/>
    </xf>
    <xf numFmtId="0" fontId="31" fillId="49" borderId="23" xfId="0" applyFont="1" applyFill="1" applyBorder="1" applyAlignment="1">
      <alignment horizontal="left" vertical="center"/>
    </xf>
    <xf numFmtId="0" fontId="31" fillId="49" borderId="24" xfId="0" applyFont="1" applyFill="1" applyBorder="1" applyAlignment="1">
      <alignment horizontal="left" vertical="center"/>
    </xf>
    <xf numFmtId="0" fontId="31" fillId="49" borderId="25" xfId="0" applyFont="1" applyFill="1" applyBorder="1" applyAlignment="1">
      <alignment horizontal="left" vertical="center"/>
    </xf>
    <xf numFmtId="0" fontId="40" fillId="44" borderId="12" xfId="0" applyFont="1" applyFill="1" applyBorder="1" applyAlignment="1">
      <alignment horizontal="center" vertical="center" textRotation="90"/>
    </xf>
    <xf numFmtId="0" fontId="53" fillId="0" borderId="0" xfId="0" applyFont="1"/>
    <xf numFmtId="0" fontId="49" fillId="44" borderId="12" xfId="0" applyFont="1" applyFill="1" applyBorder="1" applyAlignment="1">
      <alignment horizontal="center" vertical="center" textRotation="90"/>
    </xf>
    <xf numFmtId="0" fontId="40" fillId="44" borderId="21" xfId="0" applyFont="1" applyFill="1" applyBorder="1" applyAlignment="1">
      <alignment horizontal="center" vertical="center" textRotation="90"/>
    </xf>
    <xf numFmtId="0" fontId="40" fillId="44" borderId="20" xfId="0" applyFont="1" applyFill="1" applyBorder="1" applyAlignment="1">
      <alignment horizontal="center" vertical="center" textRotation="90"/>
    </xf>
    <xf numFmtId="0" fontId="40" fillId="44" borderId="22" xfId="0" applyFont="1" applyFill="1" applyBorder="1" applyAlignment="1">
      <alignment horizontal="center" vertical="center" textRotation="90"/>
    </xf>
    <xf numFmtId="0" fontId="23" fillId="43" borderId="26" xfId="0" applyFont="1" applyFill="1" applyBorder="1" applyAlignment="1">
      <alignment horizontal="left" vertical="center"/>
    </xf>
    <xf numFmtId="0" fontId="23" fillId="43" borderId="20" xfId="0" applyFont="1" applyFill="1" applyBorder="1" applyAlignment="1">
      <alignment horizontal="left" vertical="center"/>
    </xf>
    <xf numFmtId="0" fontId="23" fillId="43" borderId="22" xfId="0" applyFont="1" applyFill="1" applyBorder="1" applyAlignment="1">
      <alignment horizontal="left" vertical="center"/>
    </xf>
    <xf numFmtId="0" fontId="23" fillId="45" borderId="21" xfId="0" applyFont="1" applyFill="1" applyBorder="1" applyAlignment="1">
      <alignment horizontal="left" vertical="center"/>
    </xf>
    <xf numFmtId="0" fontId="23" fillId="45" borderId="22" xfId="0" applyFont="1" applyFill="1" applyBorder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0" xfId="0" applyFont="1" applyFill="1" applyBorder="1" applyAlignment="1">
      <alignment horizontal="left" vertical="center"/>
    </xf>
    <xf numFmtId="0" fontId="24" fillId="6" borderId="21" xfId="0" applyFont="1" applyFill="1" applyBorder="1" applyAlignment="1">
      <alignment horizontal="left" vertical="center"/>
    </xf>
    <xf numFmtId="0" fontId="24" fillId="6" borderId="22" xfId="0" applyFont="1" applyFill="1" applyBorder="1" applyAlignment="1">
      <alignment horizontal="left" vertical="center"/>
    </xf>
    <xf numFmtId="0" fontId="24" fillId="7" borderId="21" xfId="0" applyFont="1" applyFill="1" applyBorder="1" applyAlignment="1">
      <alignment horizontal="left" vertical="center"/>
    </xf>
    <xf numFmtId="0" fontId="24" fillId="7" borderId="22" xfId="0" applyFont="1" applyFill="1" applyBorder="1" applyAlignment="1">
      <alignment horizontal="left" vertical="center"/>
    </xf>
    <xf numFmtId="0" fontId="48" fillId="44" borderId="21" xfId="0" applyFont="1" applyFill="1" applyBorder="1" applyAlignment="1">
      <alignment horizontal="center" vertical="center" textRotation="90"/>
    </xf>
    <xf numFmtId="0" fontId="48" fillId="44" borderId="20" xfId="0" applyFont="1" applyFill="1" applyBorder="1" applyAlignment="1">
      <alignment horizontal="center" vertical="center" textRotation="90"/>
    </xf>
    <xf numFmtId="0" fontId="48" fillId="44" borderId="22" xfId="0" applyFont="1" applyFill="1" applyBorder="1" applyAlignment="1">
      <alignment horizontal="center" vertical="center" textRotation="90"/>
    </xf>
    <xf numFmtId="0" fontId="43" fillId="44" borderId="21" xfId="0" applyFont="1" applyFill="1" applyBorder="1" applyAlignment="1">
      <alignment horizontal="center" vertical="center" textRotation="90"/>
    </xf>
    <xf numFmtId="0" fontId="43" fillId="44" borderId="22" xfId="0" applyFont="1" applyFill="1" applyBorder="1" applyAlignment="1">
      <alignment horizontal="center" vertical="center" textRotation="90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6DA3BB"/>
      <color rgb="FF7D613B"/>
      <color rgb="FF4C38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ECF8-1E5F-4534-9F33-AC2868012131}">
  <sheetPr>
    <pageSetUpPr fitToPage="1"/>
  </sheetPr>
  <dimension ref="A1:AF26"/>
  <sheetViews>
    <sheetView tabSelected="1" zoomScale="115" zoomScaleNormal="115" workbookViewId="0">
      <selection activeCell="G28" sqref="G28"/>
    </sheetView>
  </sheetViews>
  <sheetFormatPr defaultColWidth="8.7265625" defaultRowHeight="14.5" x14ac:dyDescent="0.35"/>
  <cols>
    <col min="1" max="1" width="1.453125" style="1" customWidth="1"/>
    <col min="2" max="2" width="3.453125" style="1" customWidth="1"/>
    <col min="3" max="3" width="5.7265625" style="1" customWidth="1"/>
    <col min="4" max="4" width="8.1796875" style="1" customWidth="1"/>
    <col min="5" max="5" width="9.1796875" style="1" bestFit="1" customWidth="1"/>
    <col min="6" max="6" width="10.81640625" style="1" customWidth="1"/>
    <col min="7" max="7" width="11.1796875" style="1" customWidth="1"/>
    <col min="8" max="8" width="8.453125" style="1" customWidth="1"/>
    <col min="9" max="10" width="7.453125" style="1" customWidth="1"/>
    <col min="11" max="12" width="9.81640625" style="1" customWidth="1"/>
    <col min="13" max="14" width="7.26953125" style="1" customWidth="1"/>
    <col min="15" max="15" width="8.54296875" style="1" customWidth="1"/>
    <col min="16" max="17" width="8.1796875" style="1" customWidth="1"/>
    <col min="18" max="18" width="5.7265625" style="1" customWidth="1"/>
    <col min="19" max="16384" width="8.7265625" style="1"/>
  </cols>
  <sheetData>
    <row r="1" spans="1:32" ht="7.9" customHeight="1" x14ac:dyDescent="0.3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4" customFormat="1" ht="22.5" customHeight="1" x14ac:dyDescent="0.4">
      <c r="B2" s="56" t="s">
        <v>0</v>
      </c>
      <c r="C2" s="57"/>
      <c r="D2" s="58"/>
      <c r="E2" s="58"/>
      <c r="F2" s="58"/>
      <c r="G2" s="59" t="s">
        <v>1</v>
      </c>
      <c r="H2" s="59"/>
      <c r="I2" s="60" t="s">
        <v>2</v>
      </c>
      <c r="J2" s="61"/>
      <c r="K2" s="61"/>
      <c r="L2" s="62" t="s">
        <v>3</v>
      </c>
      <c r="M2" s="62"/>
      <c r="N2" s="62"/>
      <c r="O2" s="62"/>
      <c r="P2" s="63" t="s">
        <v>4</v>
      </c>
      <c r="Q2" s="63"/>
      <c r="R2" s="89" t="s">
        <v>56</v>
      </c>
    </row>
    <row r="3" spans="1:32" s="2" customFormat="1" ht="14.15" customHeight="1" x14ac:dyDescent="0.4">
      <c r="A3" s="37"/>
      <c r="B3" s="105"/>
      <c r="C3" s="55" t="s">
        <v>5</v>
      </c>
      <c r="D3" s="55" t="s">
        <v>7</v>
      </c>
      <c r="E3" s="55" t="s">
        <v>8</v>
      </c>
      <c r="F3" s="55" t="s">
        <v>9</v>
      </c>
      <c r="G3" s="55" t="s">
        <v>10</v>
      </c>
      <c r="H3" s="55" t="s">
        <v>12</v>
      </c>
      <c r="I3" s="55" t="s">
        <v>13</v>
      </c>
      <c r="J3" s="55" t="s">
        <v>14</v>
      </c>
      <c r="K3" s="55" t="s">
        <v>15</v>
      </c>
      <c r="L3" s="55" t="s">
        <v>16</v>
      </c>
      <c r="M3" s="55" t="s">
        <v>17</v>
      </c>
      <c r="N3" s="55" t="s">
        <v>18</v>
      </c>
      <c r="O3" s="55" t="s">
        <v>19</v>
      </c>
      <c r="P3" s="55" t="s">
        <v>20</v>
      </c>
      <c r="Q3" s="55" t="s">
        <v>21</v>
      </c>
      <c r="R3" s="55" t="s">
        <v>22</v>
      </c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 spans="1:32" s="2" customFormat="1" ht="14.15" customHeight="1" x14ac:dyDescent="0.35">
      <c r="A4" s="37"/>
      <c r="B4" s="117" t="s">
        <v>43</v>
      </c>
      <c r="C4" s="82">
        <v>5524</v>
      </c>
      <c r="D4" s="82">
        <v>2004</v>
      </c>
      <c r="E4" s="83" t="s">
        <v>132</v>
      </c>
      <c r="F4" s="84" t="s">
        <v>41</v>
      </c>
      <c r="G4" s="85">
        <v>4300000</v>
      </c>
      <c r="H4" s="82">
        <v>134</v>
      </c>
      <c r="I4" s="82">
        <v>9260</v>
      </c>
      <c r="J4" s="82">
        <v>6446</v>
      </c>
      <c r="K4" s="82">
        <v>4070</v>
      </c>
      <c r="L4" s="86" t="s">
        <v>115</v>
      </c>
      <c r="M4" s="86" t="s">
        <v>36</v>
      </c>
      <c r="N4" s="86" t="s">
        <v>40</v>
      </c>
      <c r="O4" s="87">
        <v>47209</v>
      </c>
      <c r="P4" s="82">
        <v>2013</v>
      </c>
      <c r="Q4" s="82">
        <v>2013</v>
      </c>
      <c r="R4" s="82">
        <v>9</v>
      </c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</row>
    <row r="5" spans="1:32" s="2" customFormat="1" ht="14.15" customHeight="1" x14ac:dyDescent="0.35">
      <c r="A5" s="37"/>
      <c r="B5" s="118"/>
      <c r="C5" s="82">
        <v>5581</v>
      </c>
      <c r="D5" s="82">
        <v>2005</v>
      </c>
      <c r="E5" s="83" t="s">
        <v>124</v>
      </c>
      <c r="F5" s="84" t="s">
        <v>117</v>
      </c>
      <c r="G5" s="85">
        <v>4200000</v>
      </c>
      <c r="H5" s="82">
        <v>89</v>
      </c>
      <c r="I5" s="82">
        <v>4770</v>
      </c>
      <c r="J5" s="82">
        <v>3874</v>
      </c>
      <c r="K5" s="82">
        <v>2136</v>
      </c>
      <c r="L5" s="88" t="s">
        <v>24</v>
      </c>
      <c r="M5" s="86" t="s">
        <v>24</v>
      </c>
      <c r="N5" s="86" t="s">
        <v>24</v>
      </c>
      <c r="O5" s="87">
        <v>46478</v>
      </c>
      <c r="P5" s="82">
        <v>2015</v>
      </c>
      <c r="Q5" s="82">
        <v>2005</v>
      </c>
      <c r="R5" s="82">
        <v>9</v>
      </c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</row>
    <row r="6" spans="1:32" s="2" customFormat="1" ht="14.15" customHeight="1" x14ac:dyDescent="0.35">
      <c r="A6" s="37"/>
      <c r="B6" s="118"/>
      <c r="C6" s="82">
        <v>5698</v>
      </c>
      <c r="D6" s="82">
        <v>2007</v>
      </c>
      <c r="E6" s="83" t="s">
        <v>157</v>
      </c>
      <c r="F6" s="84" t="s">
        <v>28</v>
      </c>
      <c r="G6" s="85">
        <v>6490000</v>
      </c>
      <c r="H6" s="82">
        <v>60</v>
      </c>
      <c r="I6" s="82">
        <v>4401</v>
      </c>
      <c r="J6" s="82">
        <v>3812</v>
      </c>
      <c r="K6" s="82">
        <v>1642</v>
      </c>
      <c r="L6" s="86" t="s">
        <v>39</v>
      </c>
      <c r="M6" s="86" t="s">
        <v>24</v>
      </c>
      <c r="N6" s="86" t="s">
        <v>40</v>
      </c>
      <c r="O6" s="87">
        <v>46478</v>
      </c>
      <c r="P6" s="82">
        <v>2019</v>
      </c>
      <c r="Q6" s="82">
        <v>2007</v>
      </c>
      <c r="R6" s="82">
        <v>9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</row>
    <row r="7" spans="1:32" s="2" customFormat="1" ht="14.15" customHeight="1" x14ac:dyDescent="0.35">
      <c r="A7" s="37"/>
      <c r="B7" s="118"/>
      <c r="C7" s="82">
        <v>5734</v>
      </c>
      <c r="D7" s="82">
        <v>2007</v>
      </c>
      <c r="E7" s="83" t="s">
        <v>142</v>
      </c>
      <c r="F7" s="84" t="s">
        <v>41</v>
      </c>
      <c r="G7" s="85">
        <v>6695000</v>
      </c>
      <c r="H7" s="82">
        <v>96</v>
      </c>
      <c r="I7" s="82">
        <v>4615</v>
      </c>
      <c r="J7" s="82">
        <v>4381</v>
      </c>
      <c r="K7" s="82">
        <v>3290</v>
      </c>
      <c r="L7" s="86" t="s">
        <v>39</v>
      </c>
      <c r="M7" s="86" t="s">
        <v>24</v>
      </c>
      <c r="N7" s="86" t="s">
        <v>40</v>
      </c>
      <c r="O7" s="87">
        <v>46569</v>
      </c>
      <c r="P7" s="82">
        <v>2019</v>
      </c>
      <c r="Q7" s="82">
        <v>2019</v>
      </c>
      <c r="R7" s="82">
        <v>9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</row>
    <row r="8" spans="1:32" s="2" customFormat="1" ht="14.15" customHeight="1" x14ac:dyDescent="0.35">
      <c r="A8" s="37"/>
      <c r="B8" s="118"/>
      <c r="C8" s="82">
        <v>5747</v>
      </c>
      <c r="D8" s="82">
        <v>2008</v>
      </c>
      <c r="E8" s="83" t="s">
        <v>158</v>
      </c>
      <c r="F8" s="84" t="s">
        <v>35</v>
      </c>
      <c r="G8" s="85" t="s">
        <v>29</v>
      </c>
      <c r="H8" s="82">
        <v>50</v>
      </c>
      <c r="I8" s="82">
        <v>11874</v>
      </c>
      <c r="J8" s="82">
        <v>7981</v>
      </c>
      <c r="K8" s="82">
        <v>6824</v>
      </c>
      <c r="L8" s="86" t="s">
        <v>33</v>
      </c>
      <c r="M8" s="86" t="s">
        <v>24</v>
      </c>
      <c r="N8" s="86" t="s">
        <v>37</v>
      </c>
      <c r="O8" s="87">
        <v>46661</v>
      </c>
      <c r="P8" s="82">
        <v>2024</v>
      </c>
      <c r="Q8" s="82">
        <v>2017</v>
      </c>
      <c r="R8" s="82">
        <v>6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</row>
    <row r="9" spans="1:32" s="2" customFormat="1" ht="14.15" customHeight="1" x14ac:dyDescent="0.35">
      <c r="A9" s="37"/>
      <c r="B9" s="117" t="s">
        <v>47</v>
      </c>
      <c r="C9" s="82">
        <v>6050</v>
      </c>
      <c r="D9" s="82">
        <v>2009</v>
      </c>
      <c r="E9" s="83" t="s">
        <v>179</v>
      </c>
      <c r="F9" s="84" t="s">
        <v>180</v>
      </c>
      <c r="G9" s="85">
        <v>6500000</v>
      </c>
      <c r="H9" s="82">
        <v>5</v>
      </c>
      <c r="I9" s="82">
        <v>3511</v>
      </c>
      <c r="J9" s="82">
        <v>3226</v>
      </c>
      <c r="K9" s="82">
        <v>3141</v>
      </c>
      <c r="L9" s="88" t="s">
        <v>24</v>
      </c>
      <c r="M9" s="86" t="s">
        <v>36</v>
      </c>
      <c r="N9" s="86" t="s">
        <v>24</v>
      </c>
      <c r="O9" s="87">
        <v>45931</v>
      </c>
      <c r="P9" s="82">
        <v>2009</v>
      </c>
      <c r="Q9" s="82">
        <v>2009</v>
      </c>
      <c r="R9" s="82">
        <v>9</v>
      </c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 spans="1:32" s="2" customFormat="1" ht="13.9" customHeight="1" x14ac:dyDescent="0.35">
      <c r="B10" s="118"/>
      <c r="C10" s="82">
        <v>6063</v>
      </c>
      <c r="D10" s="82">
        <v>2010</v>
      </c>
      <c r="E10" s="83" t="s">
        <v>159</v>
      </c>
      <c r="F10" s="84" t="s">
        <v>34</v>
      </c>
      <c r="G10" s="85">
        <v>6890000</v>
      </c>
      <c r="H10" s="82">
        <v>49</v>
      </c>
      <c r="I10" s="82">
        <v>5484</v>
      </c>
      <c r="J10" s="82">
        <v>6766</v>
      </c>
      <c r="K10" s="82">
        <v>2982</v>
      </c>
      <c r="L10" s="84" t="s">
        <v>24</v>
      </c>
      <c r="M10" s="86" t="s">
        <v>36</v>
      </c>
      <c r="N10" s="86" t="s">
        <v>24</v>
      </c>
      <c r="O10" s="87">
        <v>46113</v>
      </c>
      <c r="P10" s="82">
        <v>2010</v>
      </c>
      <c r="Q10" s="82">
        <v>2010</v>
      </c>
      <c r="R10" s="82">
        <v>9</v>
      </c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s="2" customFormat="1" ht="13.9" customHeight="1" x14ac:dyDescent="0.35">
      <c r="B11" s="118"/>
      <c r="C11" s="82">
        <v>6068</v>
      </c>
      <c r="D11" s="82">
        <v>2011</v>
      </c>
      <c r="E11" s="83" t="s">
        <v>134</v>
      </c>
      <c r="F11" s="84" t="s">
        <v>135</v>
      </c>
      <c r="G11" s="85">
        <v>7500000</v>
      </c>
      <c r="H11" s="82">
        <v>126</v>
      </c>
      <c r="I11" s="82">
        <v>3022</v>
      </c>
      <c r="J11" s="82">
        <v>2406</v>
      </c>
      <c r="K11" s="82">
        <v>1207</v>
      </c>
      <c r="L11" s="84" t="s">
        <v>38</v>
      </c>
      <c r="M11" s="86" t="s">
        <v>24</v>
      </c>
      <c r="N11" s="86" t="s">
        <v>40</v>
      </c>
      <c r="O11" s="87">
        <v>47178</v>
      </c>
      <c r="P11" s="82">
        <v>2011</v>
      </c>
      <c r="Q11" s="82">
        <v>2011</v>
      </c>
      <c r="R11" s="82">
        <v>9</v>
      </c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</row>
    <row r="12" spans="1:32" s="2" customFormat="1" ht="13.9" customHeight="1" x14ac:dyDescent="0.35">
      <c r="B12" s="118"/>
      <c r="C12" s="82">
        <v>6070</v>
      </c>
      <c r="D12" s="82">
        <v>2010</v>
      </c>
      <c r="E12" s="83" t="s">
        <v>160</v>
      </c>
      <c r="F12" s="84" t="s">
        <v>161</v>
      </c>
      <c r="G12" s="85">
        <v>6895000</v>
      </c>
      <c r="H12" s="82">
        <v>49</v>
      </c>
      <c r="I12" s="82">
        <v>6793</v>
      </c>
      <c r="J12" s="82">
        <v>7244</v>
      </c>
      <c r="K12" s="82">
        <v>6204</v>
      </c>
      <c r="L12" s="84" t="s">
        <v>38</v>
      </c>
      <c r="M12" s="86" t="s">
        <v>36</v>
      </c>
      <c r="N12" s="86" t="s">
        <v>24</v>
      </c>
      <c r="O12" s="87">
        <v>47362</v>
      </c>
      <c r="P12" s="82">
        <v>2010</v>
      </c>
      <c r="Q12" s="82">
        <v>2010</v>
      </c>
      <c r="R12" s="82">
        <v>9</v>
      </c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pans="1:32" s="2" customFormat="1" ht="13.9" customHeight="1" x14ac:dyDescent="0.35">
      <c r="B13" s="118"/>
      <c r="C13" s="82">
        <v>6126</v>
      </c>
      <c r="D13" s="82">
        <v>2012</v>
      </c>
      <c r="E13" s="103" t="s">
        <v>141</v>
      </c>
      <c r="F13" s="84" t="s">
        <v>58</v>
      </c>
      <c r="G13" s="85" t="s">
        <v>29</v>
      </c>
      <c r="H13" s="82">
        <v>119</v>
      </c>
      <c r="I13" s="82">
        <v>4552</v>
      </c>
      <c r="J13" s="82">
        <v>3198</v>
      </c>
      <c r="K13" s="82">
        <v>2388</v>
      </c>
      <c r="L13" s="84" t="s">
        <v>39</v>
      </c>
      <c r="M13" s="86" t="s">
        <v>24</v>
      </c>
      <c r="N13" s="86" t="s">
        <v>40</v>
      </c>
      <c r="O13" s="87">
        <v>46905</v>
      </c>
      <c r="P13" s="82">
        <v>2023</v>
      </c>
      <c r="Q13" s="82">
        <v>2012</v>
      </c>
      <c r="R13" s="82">
        <v>9</v>
      </c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</row>
    <row r="14" spans="1:32" s="2" customFormat="1" ht="13.9" customHeight="1" x14ac:dyDescent="0.35">
      <c r="B14" s="118"/>
      <c r="C14" s="82">
        <v>6134</v>
      </c>
      <c r="D14" s="82">
        <v>2013</v>
      </c>
      <c r="E14" s="83" t="s">
        <v>143</v>
      </c>
      <c r="F14" s="84" t="s">
        <v>99</v>
      </c>
      <c r="G14" s="85">
        <v>8250000</v>
      </c>
      <c r="H14" s="82">
        <v>812</v>
      </c>
      <c r="I14" s="82">
        <v>2300</v>
      </c>
      <c r="J14" s="82">
        <v>2200</v>
      </c>
      <c r="K14" s="82" t="s">
        <v>26</v>
      </c>
      <c r="L14" s="86" t="s">
        <v>23</v>
      </c>
      <c r="M14" s="86" t="s">
        <v>36</v>
      </c>
      <c r="N14" s="86" t="s">
        <v>23</v>
      </c>
      <c r="O14" s="87">
        <v>47209</v>
      </c>
      <c r="P14" s="82">
        <v>2013</v>
      </c>
      <c r="Q14" s="82">
        <v>2013</v>
      </c>
      <c r="R14" s="82">
        <v>7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</row>
    <row r="15" spans="1:32" s="2" customFormat="1" ht="13.9" customHeight="1" x14ac:dyDescent="0.35">
      <c r="B15" s="118"/>
      <c r="C15" s="82">
        <v>6171</v>
      </c>
      <c r="D15" s="82">
        <v>2014</v>
      </c>
      <c r="E15" s="83" t="s">
        <v>50</v>
      </c>
      <c r="F15" s="84" t="s">
        <v>51</v>
      </c>
      <c r="G15" s="85" t="s">
        <v>29</v>
      </c>
      <c r="H15" s="82">
        <v>84</v>
      </c>
      <c r="I15" s="82">
        <v>4627</v>
      </c>
      <c r="J15" s="82">
        <v>3600</v>
      </c>
      <c r="K15" s="82">
        <v>2032</v>
      </c>
      <c r="L15" s="86" t="s">
        <v>39</v>
      </c>
      <c r="M15" s="86" t="s">
        <v>38</v>
      </c>
      <c r="N15" s="86" t="s">
        <v>40</v>
      </c>
      <c r="O15" s="87">
        <v>47209</v>
      </c>
      <c r="P15" s="82">
        <v>2014</v>
      </c>
      <c r="Q15" s="82">
        <v>2014</v>
      </c>
      <c r="R15" s="82">
        <v>9</v>
      </c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</row>
    <row r="16" spans="1:32" s="2" customFormat="1" ht="13.9" customHeight="1" x14ac:dyDescent="0.35">
      <c r="B16" s="118"/>
      <c r="C16" s="82">
        <v>6200</v>
      </c>
      <c r="D16" s="82">
        <v>2015</v>
      </c>
      <c r="E16" s="83" t="s">
        <v>162</v>
      </c>
      <c r="F16" s="84" t="s">
        <v>163</v>
      </c>
      <c r="G16" s="85" t="s">
        <v>29</v>
      </c>
      <c r="H16" s="82">
        <v>35</v>
      </c>
      <c r="I16" s="82">
        <v>2936</v>
      </c>
      <c r="J16" s="82">
        <v>1954</v>
      </c>
      <c r="K16" s="82">
        <v>1533</v>
      </c>
      <c r="L16" s="84" t="s">
        <v>33</v>
      </c>
      <c r="M16" s="86" t="s">
        <v>164</v>
      </c>
      <c r="N16" s="86" t="s">
        <v>24</v>
      </c>
      <c r="O16" s="87">
        <v>46661</v>
      </c>
      <c r="P16" s="82">
        <v>2015</v>
      </c>
      <c r="Q16" s="82">
        <v>2015</v>
      </c>
      <c r="R16" s="82">
        <v>7</v>
      </c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</row>
    <row r="17" spans="2:32" s="2" customFormat="1" ht="13.9" customHeight="1" x14ac:dyDescent="0.35">
      <c r="B17" s="118"/>
      <c r="C17" s="82">
        <v>6235</v>
      </c>
      <c r="D17" s="82">
        <v>2017</v>
      </c>
      <c r="E17" s="83" t="s">
        <v>181</v>
      </c>
      <c r="F17" s="84" t="s">
        <v>110</v>
      </c>
      <c r="G17" s="85" t="s">
        <v>29</v>
      </c>
      <c r="H17" s="82">
        <v>1</v>
      </c>
      <c r="I17" s="82">
        <v>1377</v>
      </c>
      <c r="J17" s="82">
        <v>1104</v>
      </c>
      <c r="K17" s="82">
        <v>967</v>
      </c>
      <c r="L17" s="84" t="s">
        <v>39</v>
      </c>
      <c r="M17" s="86" t="s">
        <v>24</v>
      </c>
      <c r="N17" s="86" t="s">
        <v>40</v>
      </c>
      <c r="O17" s="87">
        <v>47423</v>
      </c>
      <c r="P17" s="82">
        <v>2017</v>
      </c>
      <c r="Q17" s="82">
        <v>2017</v>
      </c>
      <c r="R17" s="82">
        <v>8</v>
      </c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</row>
    <row r="18" spans="2:32" x14ac:dyDescent="0.35">
      <c r="B18" s="118"/>
      <c r="C18" s="82">
        <v>6239</v>
      </c>
      <c r="D18" s="82">
        <v>2017</v>
      </c>
      <c r="E18" s="83" t="s">
        <v>125</v>
      </c>
      <c r="F18" s="84" t="s">
        <v>52</v>
      </c>
      <c r="G18" s="85">
        <v>10000000</v>
      </c>
      <c r="H18" s="82">
        <v>180</v>
      </c>
      <c r="I18" s="82">
        <v>2312</v>
      </c>
      <c r="J18" s="82">
        <v>2205</v>
      </c>
      <c r="K18" s="82">
        <v>1455</v>
      </c>
      <c r="L18" s="91" t="s">
        <v>24</v>
      </c>
      <c r="M18" s="86" t="s">
        <v>24</v>
      </c>
      <c r="N18" s="86" t="s">
        <v>24</v>
      </c>
      <c r="O18" s="87">
        <v>45962</v>
      </c>
      <c r="P18" s="82">
        <v>2017</v>
      </c>
      <c r="Q18" s="82">
        <v>2017</v>
      </c>
      <c r="R18" s="82">
        <v>7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</row>
    <row r="19" spans="2:32" x14ac:dyDescent="0.35">
      <c r="B19" s="119"/>
      <c r="C19" s="82">
        <v>6311</v>
      </c>
      <c r="D19" s="82">
        <v>2021</v>
      </c>
      <c r="E19" s="83" t="s">
        <v>136</v>
      </c>
      <c r="F19" s="84" t="s">
        <v>48</v>
      </c>
      <c r="G19" s="85">
        <v>14300000</v>
      </c>
      <c r="H19" s="82">
        <v>152</v>
      </c>
      <c r="I19" s="82">
        <v>488</v>
      </c>
      <c r="J19" s="82" t="s">
        <v>26</v>
      </c>
      <c r="K19" s="82">
        <v>88</v>
      </c>
      <c r="L19" s="84" t="s">
        <v>39</v>
      </c>
      <c r="M19" s="86" t="s">
        <v>36</v>
      </c>
      <c r="N19" s="86" t="s">
        <v>40</v>
      </c>
      <c r="O19" s="87">
        <v>45931</v>
      </c>
      <c r="P19" s="82">
        <v>2021</v>
      </c>
      <c r="Q19" s="82">
        <v>2021</v>
      </c>
      <c r="R19" s="82">
        <v>9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</row>
    <row r="20" spans="2:32" x14ac:dyDescent="0.35">
      <c r="B20" s="114"/>
      <c r="C20" s="82">
        <v>6338</v>
      </c>
      <c r="D20" s="82">
        <v>2022</v>
      </c>
      <c r="E20" s="83" t="s">
        <v>165</v>
      </c>
      <c r="F20" s="84" t="s">
        <v>166</v>
      </c>
      <c r="G20" s="85">
        <v>15490000</v>
      </c>
      <c r="H20" s="82">
        <v>64</v>
      </c>
      <c r="I20" s="82">
        <v>799</v>
      </c>
      <c r="J20" s="82">
        <v>731</v>
      </c>
      <c r="K20" s="82">
        <v>334</v>
      </c>
      <c r="L20" s="84" t="s">
        <v>39</v>
      </c>
      <c r="M20" s="86" t="s">
        <v>24</v>
      </c>
      <c r="N20" s="86" t="s">
        <v>40</v>
      </c>
      <c r="O20" s="87">
        <v>46419</v>
      </c>
      <c r="P20" s="82">
        <v>2022</v>
      </c>
      <c r="Q20" s="82">
        <v>2022</v>
      </c>
      <c r="R20" s="82">
        <v>12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</row>
    <row r="21" spans="2:32" ht="15.75" customHeight="1" x14ac:dyDescent="0.35">
      <c r="B21" s="116" t="s">
        <v>114</v>
      </c>
      <c r="C21" s="82">
        <v>6341</v>
      </c>
      <c r="D21" s="82">
        <v>2023</v>
      </c>
      <c r="E21" s="83" t="s">
        <v>54</v>
      </c>
      <c r="F21" s="84" t="s">
        <v>49</v>
      </c>
      <c r="G21" s="85">
        <v>15150000</v>
      </c>
      <c r="H21" s="82">
        <v>784</v>
      </c>
      <c r="I21" s="82">
        <v>215</v>
      </c>
      <c r="J21" s="82">
        <v>142</v>
      </c>
      <c r="K21" s="82">
        <v>114</v>
      </c>
      <c r="L21" s="84" t="s">
        <v>39</v>
      </c>
      <c r="M21" s="86" t="s">
        <v>36</v>
      </c>
      <c r="N21" s="86" t="s">
        <v>40</v>
      </c>
      <c r="O21" s="87">
        <v>46478</v>
      </c>
      <c r="P21" s="82">
        <v>2023</v>
      </c>
      <c r="Q21" s="82">
        <v>2023</v>
      </c>
      <c r="R21" s="82">
        <v>8</v>
      </c>
    </row>
    <row r="22" spans="2:32" ht="15.75" customHeight="1" x14ac:dyDescent="0.35">
      <c r="B22" s="116"/>
      <c r="C22" s="82">
        <v>6355</v>
      </c>
      <c r="D22" s="82">
        <v>2024</v>
      </c>
      <c r="E22" s="83" t="s">
        <v>93</v>
      </c>
      <c r="F22" s="84" t="s">
        <v>28</v>
      </c>
      <c r="G22" s="85">
        <v>16850000</v>
      </c>
      <c r="H22" s="82">
        <v>447</v>
      </c>
      <c r="I22" s="82">
        <v>441</v>
      </c>
      <c r="J22" s="82">
        <v>273</v>
      </c>
      <c r="K22" s="82">
        <v>301</v>
      </c>
      <c r="L22" s="84" t="s">
        <v>23</v>
      </c>
      <c r="M22" s="86" t="s">
        <v>24</v>
      </c>
      <c r="N22" s="86" t="s">
        <v>23</v>
      </c>
      <c r="O22" s="87">
        <v>46813</v>
      </c>
      <c r="P22" s="82">
        <v>2024</v>
      </c>
      <c r="Q22" s="82">
        <v>2024</v>
      </c>
      <c r="R22" s="82">
        <v>9</v>
      </c>
    </row>
    <row r="23" spans="2:32" ht="15.75" customHeight="1" x14ac:dyDescent="0.35">
      <c r="B23" s="104"/>
      <c r="C23" s="82">
        <v>6357</v>
      </c>
      <c r="D23" s="82">
        <v>2024</v>
      </c>
      <c r="E23" s="83" t="s">
        <v>145</v>
      </c>
      <c r="F23" s="84" t="s">
        <v>34</v>
      </c>
      <c r="G23" s="85">
        <v>15995000</v>
      </c>
      <c r="H23" s="82">
        <v>90</v>
      </c>
      <c r="I23" s="82">
        <v>600</v>
      </c>
      <c r="J23" s="82">
        <v>371</v>
      </c>
      <c r="K23" s="82" t="s">
        <v>26</v>
      </c>
      <c r="L23" s="82" t="s">
        <v>26</v>
      </c>
      <c r="M23" s="82" t="s">
        <v>26</v>
      </c>
      <c r="N23" s="82" t="s">
        <v>26</v>
      </c>
      <c r="O23" s="87">
        <v>46874</v>
      </c>
      <c r="P23" s="82">
        <v>2024</v>
      </c>
      <c r="Q23" s="82">
        <v>2024</v>
      </c>
      <c r="R23" s="82">
        <v>8</v>
      </c>
    </row>
    <row r="24" spans="2:32" ht="15.75" customHeight="1" x14ac:dyDescent="0.35">
      <c r="B24" s="104"/>
      <c r="C24" s="82">
        <v>6378</v>
      </c>
      <c r="D24" s="82">
        <v>2025</v>
      </c>
      <c r="E24" s="83" t="s">
        <v>148</v>
      </c>
      <c r="F24" s="84" t="s">
        <v>58</v>
      </c>
      <c r="G24" s="85">
        <v>16500000</v>
      </c>
      <c r="H24" s="82">
        <v>88</v>
      </c>
      <c r="I24" s="82">
        <v>26</v>
      </c>
      <c r="J24" s="82">
        <v>30</v>
      </c>
      <c r="K24" s="82" t="s">
        <v>26</v>
      </c>
      <c r="L24" s="84" t="s">
        <v>39</v>
      </c>
      <c r="M24" s="86" t="s">
        <v>36</v>
      </c>
      <c r="N24" s="86" t="s">
        <v>40</v>
      </c>
      <c r="O24" s="87">
        <v>47331</v>
      </c>
      <c r="P24" s="82">
        <v>2025</v>
      </c>
      <c r="Q24" s="82">
        <v>2025</v>
      </c>
      <c r="R24" s="82">
        <v>9</v>
      </c>
    </row>
    <row r="25" spans="2:32" ht="15.75" customHeight="1" x14ac:dyDescent="0.35">
      <c r="B25" s="104"/>
      <c r="C25" s="82">
        <v>6504</v>
      </c>
      <c r="D25" s="82">
        <v>2025</v>
      </c>
      <c r="E25" s="83" t="s">
        <v>177</v>
      </c>
      <c r="F25" s="84" t="s">
        <v>26</v>
      </c>
      <c r="G25" s="85" t="s">
        <v>29</v>
      </c>
      <c r="H25" s="82">
        <v>12</v>
      </c>
      <c r="I25" s="82" t="s">
        <v>26</v>
      </c>
      <c r="J25" s="82" t="s">
        <v>26</v>
      </c>
      <c r="K25" s="82" t="s">
        <v>26</v>
      </c>
      <c r="L25" s="82" t="s">
        <v>26</v>
      </c>
      <c r="M25" s="82" t="s">
        <v>26</v>
      </c>
      <c r="N25" s="82" t="s">
        <v>26</v>
      </c>
      <c r="O25" s="82" t="s">
        <v>26</v>
      </c>
      <c r="P25" s="82" t="s">
        <v>26</v>
      </c>
      <c r="Q25" s="82" t="s">
        <v>26</v>
      </c>
      <c r="R25" s="82" t="s">
        <v>26</v>
      </c>
    </row>
    <row r="26" spans="2:32" x14ac:dyDescent="0.35">
      <c r="B26" s="38"/>
      <c r="C26" s="50" t="s">
        <v>55</v>
      </c>
      <c r="D26" s="51">
        <f>AVERAGE(D4:D25)</f>
        <v>2014.6818181818182</v>
      </c>
      <c r="E26" s="52"/>
      <c r="F26" s="52"/>
      <c r="G26" s="53">
        <f>AVERAGE(G4:G25)</f>
        <v>10125312.5</v>
      </c>
      <c r="H26" s="51">
        <f>AVERAGE(H4:H25)</f>
        <v>160.27272727272728</v>
      </c>
      <c r="I26" s="51">
        <f>AVERAGE(I4:I25)</f>
        <v>3543</v>
      </c>
      <c r="J26" s="51">
        <f t="shared" ref="J26:K26" si="0">AVERAGE(J4:J25)</f>
        <v>3097.2</v>
      </c>
      <c r="K26" s="51">
        <f t="shared" si="0"/>
        <v>2261.5555555555557</v>
      </c>
      <c r="L26" s="51"/>
      <c r="M26" s="51"/>
      <c r="N26" s="51"/>
      <c r="O26" s="51"/>
      <c r="P26" s="51">
        <f>AVERAGE(P4:P25)</f>
        <v>2017.5238095238096</v>
      </c>
      <c r="Q26" s="51">
        <f>AVERAGE(Q4:Q25)</f>
        <v>2015.6190476190477</v>
      </c>
      <c r="R26" s="54"/>
    </row>
  </sheetData>
  <mergeCells count="3">
    <mergeCell ref="B21:B22"/>
    <mergeCell ref="B4:B8"/>
    <mergeCell ref="B9:B19"/>
  </mergeCells>
  <conditionalFormatting sqref="G4:G6">
    <cfRule type="dataBar" priority="33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{16F51395-C592-4AA8-B2C6-2F40C31614FC}</x14:id>
        </ext>
      </extLst>
    </cfRule>
  </conditionalFormatting>
  <conditionalFormatting sqref="G4:G9">
    <cfRule type="dataBar" priority="36605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{361145BD-48ED-4365-82C1-6AEDB6B9C314}</x14:id>
        </ext>
      </extLst>
    </cfRule>
    <cfRule type="dataBar" priority="36606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{14600DDE-7C70-4B14-92CE-FE60CB8013FE}</x14:id>
        </ext>
      </extLst>
    </cfRule>
    <cfRule type="dataBar" priority="36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{BE876DAE-4C58-4F66-9E7B-BFC87188231C}</x14:id>
        </ext>
      </extLst>
    </cfRule>
    <cfRule type="dataBar" priority="36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{AA286BB9-B7BB-4413-880E-202770FFAC93}</x14:id>
        </ext>
      </extLst>
    </cfRule>
  </conditionalFormatting>
  <conditionalFormatting sqref="G4:G25">
    <cfRule type="dataBar" priority="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{8FA84195-F76D-4F91-AB10-73969A13B9B6}</x14:id>
        </ext>
      </extLst>
    </cfRule>
    <cfRule type="dataBar" priority="36770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{79B88042-FC52-4BB8-B9D2-071D05025075}</x14:id>
        </ext>
      </extLst>
    </cfRule>
    <cfRule type="dataBar" priority="3677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{6566F294-5D09-4F63-BEE0-62138D221498}</x14:id>
        </ext>
      </extLst>
    </cfRule>
    <cfRule type="dataBar" priority="3677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{86FD32AE-A79E-4361-838E-C16FBBD2FE77}</x14:id>
        </ext>
      </extLst>
    </cfRule>
    <cfRule type="dataBar" priority="36773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{7D69F3BE-A890-4FDF-94CA-915218E0E173}</x14:id>
        </ext>
      </extLst>
    </cfRule>
    <cfRule type="dataBar" priority="36774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{D88EF909-83BC-4E67-9D85-072D8EC4B7AC}</x14:id>
        </ext>
      </extLst>
    </cfRule>
    <cfRule type="dataBar" priority="36775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{4927C511-1353-43B0-9726-476BE2E4FCDF}</x14:id>
        </ext>
      </extLst>
    </cfRule>
    <cfRule type="dataBar" priority="36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{5358222F-DB05-46BF-81E9-A63616D9A4F2}</x14:id>
        </ext>
      </extLst>
    </cfRule>
    <cfRule type="dataBar" priority="36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{7A592847-A92A-4690-87D6-09631AC97AF3}</x14:id>
        </ext>
      </extLst>
    </cfRule>
    <cfRule type="dataBar" priority="36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{5D67EDD5-16FF-4BB7-9A3B-CC6820648EEF}</x14:id>
        </ext>
      </extLst>
    </cfRule>
    <cfRule type="dataBar" priority="36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{B91C90E4-288C-432D-92AA-D87195C2E825}</x14:id>
        </ext>
      </extLst>
    </cfRule>
    <cfRule type="dataBar" priority="36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{F4768D51-9AD0-4170-8DC4-0F8D33DBCEB1}</x14:id>
        </ext>
      </extLst>
    </cfRule>
    <cfRule type="dataBar" priority="36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{DEB1BE8C-844A-4EF2-82DA-6B67B0FB0092}</x14:id>
        </ext>
      </extLst>
    </cfRule>
    <cfRule type="dataBar" priority="3678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{DF92ADF6-1556-4071-9D02-DFE37D580823}</x14:id>
        </ext>
      </extLst>
    </cfRule>
    <cfRule type="dataBar" priority="36783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{2DF97F3F-5BC3-4D07-994E-5BEF44F749E8}</x14:id>
        </ext>
      </extLst>
    </cfRule>
  </conditionalFormatting>
  <conditionalFormatting sqref="G5:G25">
    <cfRule type="dataBar" priority="36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{73A1E57A-8475-4EAA-9E53-6A9E682C4A09}</x14:id>
        </ext>
      </extLst>
    </cfRule>
  </conditionalFormatting>
  <conditionalFormatting sqref="G7:G25">
    <cfRule type="dataBar" priority="36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{1B5C13EA-4EA6-4FFD-94E8-4603625E4184}</x14:id>
        </ext>
      </extLst>
    </cfRule>
  </conditionalFormatting>
  <conditionalFormatting sqref="G10:G25">
    <cfRule type="dataBar" priority="3669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{F6829CD4-38AE-48F8-9E47-BB5CF7CCDBD3}</x14:id>
        </ext>
      </extLst>
    </cfRule>
    <cfRule type="dataBar" priority="36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{0201E122-4065-4EE5-83B6-702C42137D85}</x14:id>
        </ext>
      </extLst>
    </cfRule>
  </conditionalFormatting>
  <conditionalFormatting sqref="G7:H9">
    <cfRule type="dataBar" priority="36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{FC088392-2B6D-48CE-B269-73A17CADEF8B}</x14:id>
        </ext>
      </extLst>
    </cfRule>
  </conditionalFormatting>
  <conditionalFormatting sqref="G10:H25">
    <cfRule type="dataBar" priority="36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{C631EC8E-449C-4E42-8DC9-C4B76BE535E8}</x14:id>
        </ext>
      </extLst>
    </cfRule>
  </conditionalFormatting>
  <conditionalFormatting sqref="I4:I9">
    <cfRule type="dataBar" priority="366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{FB49D534-6CC1-4DEB-8913-25EC308400AA}</x14:id>
        </ext>
      </extLst>
    </cfRule>
    <cfRule type="dataBar" priority="36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{49CD4192-1A11-4E27-A4C3-CC46798A5B20}</x14:id>
        </ext>
      </extLst>
    </cfRule>
    <cfRule type="dataBar" priority="36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{C4E811FA-2023-43A7-9BC3-4D72E3411A69}</x14:id>
        </ext>
      </extLst>
    </cfRule>
  </conditionalFormatting>
  <conditionalFormatting sqref="I4:J6">
    <cfRule type="dataBar" priority="33597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{8A817A3D-C084-4E0C-B875-11153DDAB2FA}</x14:id>
        </ext>
      </extLst>
    </cfRule>
    <cfRule type="dataBar" priority="33598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{01BB7AEE-A031-47AB-A2E0-237F08237FE2}</x14:id>
        </ext>
      </extLst>
    </cfRule>
  </conditionalFormatting>
  <conditionalFormatting sqref="I7:J9">
    <cfRule type="dataBar" priority="3665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{9D454E8C-03E7-4682-9A87-DCDB6648469D}</x14:id>
        </ext>
      </extLst>
    </cfRule>
    <cfRule type="dataBar" priority="3665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{015E9CF3-F41C-4354-998F-205D01AE7D1D}</x14:id>
        </ext>
      </extLst>
    </cfRule>
  </conditionalFormatting>
  <conditionalFormatting sqref="I4:K6">
    <cfRule type="dataBar" priority="33599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{62184114-FFBA-43A2-B042-D1F475402EA2}</x14:id>
        </ext>
      </extLst>
    </cfRule>
    <cfRule type="dataBar" priority="33600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{CDA6CD0E-944A-48D3-9167-2C5A92BF578A}</x14:id>
        </ext>
      </extLst>
    </cfRule>
    <cfRule type="dataBar" priority="3360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{B72F8B0C-3603-450D-8760-4754CA10835B}</x14:id>
        </ext>
      </extLst>
    </cfRule>
    <cfRule type="dataBar" priority="3360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{D4EB0B17-779A-46C4-A07A-F222D968E10C}</x14:id>
        </ext>
      </extLst>
    </cfRule>
    <cfRule type="dataBar" priority="33603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{A06F90CF-4E8C-4B20-B2AF-A58237B8B520}</x14:id>
        </ext>
      </extLst>
    </cfRule>
    <cfRule type="dataBar" priority="33604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{DF2E0358-1E31-429D-A6AC-3DC1D4B15CC5}</x14:id>
        </ext>
      </extLst>
    </cfRule>
  </conditionalFormatting>
  <conditionalFormatting sqref="J4:J9">
    <cfRule type="dataBar" priority="36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{4B01EA23-0565-42A6-A60C-2406DA925C0D}</x14:id>
        </ext>
      </extLst>
    </cfRule>
    <cfRule type="dataBar" priority="36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{1C33C9CC-65C1-4D0E-BCC0-C652313DE9B4}</x14:id>
        </ext>
      </extLst>
    </cfRule>
    <cfRule type="dataBar" priority="36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{DD1F9C3B-3609-45D6-ACFE-6F563160A69A}</x14:id>
        </ext>
      </extLst>
    </cfRule>
  </conditionalFormatting>
  <conditionalFormatting sqref="J4:J25 M25 Q2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{D7E42C56-072C-42D3-8C10-5283546B4D09}</x14:id>
        </ext>
      </extLst>
    </cfRule>
  </conditionalFormatting>
  <conditionalFormatting sqref="J10:J12 M25 J14:J25 Q25">
    <cfRule type="dataBar" priority="34454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{361416E1-965E-46E6-B1A4-92EB17E04B4F}</x14:id>
        </ext>
      </extLst>
    </cfRule>
    <cfRule type="dataBar" priority="34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{2147F045-9B4D-4497-9ACB-93A034EBACA2}</x14:id>
        </ext>
      </extLst>
    </cfRule>
  </conditionalFormatting>
  <conditionalFormatting sqref="J10:J25 M25 Q25">
    <cfRule type="dataBar" priority="34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{80884386-60CE-4510-9130-9F269907B0D2}</x14:id>
        </ext>
      </extLst>
    </cfRule>
  </conditionalFormatting>
  <conditionalFormatting sqref="J25:R25 I4:I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{B9BD9C42-413E-4B11-AED2-E1214CE263EE}</x14:id>
        </ext>
      </extLst>
    </cfRule>
    <cfRule type="dataBar" priority="34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{06883C31-34F5-4AA7-AB39-C28E330EDF39}</x14:id>
        </ext>
      </extLst>
    </cfRule>
  </conditionalFormatting>
  <conditionalFormatting sqref="J25:R25 I10:I25">
    <cfRule type="dataBar" priority="34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{AD293A3E-584D-4DEE-8CE6-2848E95C1CD8}</x14:id>
        </ext>
      </extLst>
    </cfRule>
  </conditionalFormatting>
  <conditionalFormatting sqref="J25:R25 I10:J25">
    <cfRule type="dataBar" priority="3448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{F71963BD-8CF9-4BB0-9B25-D112EB421777}</x14:id>
        </ext>
      </extLst>
    </cfRule>
  </conditionalFormatting>
  <conditionalFormatting sqref="J25:R25 J13:K13 R13 I10:I25">
    <cfRule type="dataBar" priority="34466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{80D32659-5C01-425E-A8CD-D7423E32F942}</x14:id>
        </ext>
      </extLst>
    </cfRule>
    <cfRule type="dataBar" priority="34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{472B0E7E-FBA8-4C51-A7BD-BCDB1EC67A72}</x14:id>
        </ext>
      </extLst>
    </cfRule>
  </conditionalFormatting>
  <conditionalFormatting sqref="K4:K9">
    <cfRule type="dataBar" priority="36686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{FBCBB2E4-95F1-417A-8F41-6B356F57A78E}</x14:id>
        </ext>
      </extLst>
    </cfRule>
    <cfRule type="dataBar" priority="36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{63BCC5C5-E2D4-4312-9453-8943FA5BF298}</x14:id>
        </ext>
      </extLst>
    </cfRule>
    <cfRule type="dataBar" priority="36688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{8A559DB1-E503-42EB-9FC2-FB792C2CFA60}</x14:id>
        </ext>
      </extLst>
    </cfRule>
    <cfRule type="dataBar" priority="36689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{E087EA85-2F81-4400-BEBE-61B35FE1344A}</x14:id>
        </ext>
      </extLst>
    </cfRule>
    <cfRule type="dataBar" priority="36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{BA7506AE-EFE5-411A-8D8F-F358D297E6FA}</x14:id>
        </ext>
      </extLst>
    </cfRule>
  </conditionalFormatting>
  <conditionalFormatting sqref="K4:K25 N25 R2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{3AF56191-D1EA-4639-A7CE-64CDCCDA29B3}</x14:id>
        </ext>
      </extLst>
    </cfRule>
  </conditionalFormatting>
  <conditionalFormatting sqref="K10:K12 N25 K14:K25 R25">
    <cfRule type="dataBar" priority="34460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{126D1B02-6F08-43D2-B487-C0EE77B9BA46}</x14:id>
        </ext>
      </extLst>
    </cfRule>
    <cfRule type="dataBar" priority="34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{8C5DD107-8A40-42F8-8EC5-9AAB65DF799E}</x14:id>
        </ext>
      </extLst>
    </cfRule>
  </conditionalFormatting>
  <conditionalFormatting sqref="K10:K25 N25 R25">
    <cfRule type="dataBar" priority="34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{35B8DE27-3B84-4160-A1BD-A2D0745AD70F}</x14:id>
        </ext>
      </extLst>
    </cfRule>
    <cfRule type="dataBar" priority="34487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{CB09642B-2518-4964-819D-3D894CEDF375}</x14:id>
        </ext>
      </extLst>
    </cfRule>
  </conditionalFormatting>
  <conditionalFormatting sqref="L10">
    <cfRule type="dataBar" priority="33833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{EE90B96B-8896-499E-95A2-97B908D69946}</x14:id>
        </ext>
      </extLst>
    </cfRule>
    <cfRule type="dataBar" priority="33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{8067D264-E32B-4C2B-B6C1-F55E11EEFB22}</x14:id>
        </ext>
      </extLst>
    </cfRule>
    <cfRule type="dataBar" priority="33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{EE69CA38-D0C5-4220-88AC-6D6A8E5FB587}</x14:id>
        </ext>
      </extLst>
    </cfRule>
    <cfRule type="dataBar" priority="33836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{B3F7AE51-A0A3-4F29-BB2D-054ECE8344EC}</x14:id>
        </ext>
      </extLst>
    </cfRule>
    <cfRule type="dataBar" priority="33837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{94DE81BF-2AE5-42EB-86A1-57CB933EF5B6}</x14:id>
        </ext>
      </extLst>
    </cfRule>
    <cfRule type="dataBar" priority="33838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{54551976-E6D6-4285-AB48-4AF4C99ACCBD}</x14:id>
        </ext>
      </extLst>
    </cfRule>
    <cfRule type="dataBar" priority="33839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{CC167663-E18B-4C7F-B7C9-4F3F83C2AA65}</x14:id>
        </ext>
      </extLst>
    </cfRule>
    <cfRule type="dataBar" priority="33840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{1C5BF40E-3D06-4494-AFAC-BCD67C71D334}</x14:id>
        </ext>
      </extLst>
    </cfRule>
    <cfRule type="dataBar" priority="3384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{3C075D43-FDC5-461A-8C83-D80B5B50A175}</x14:id>
        </ext>
      </extLst>
    </cfRule>
    <cfRule type="dataBar" priority="3384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{4E9E95D2-0039-4418-AD3F-39B3D1C697F1}</x14:id>
        </ext>
      </extLst>
    </cfRule>
    <cfRule type="dataBar" priority="33843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{66F279A6-AEC0-4BDE-B7FA-E83FC8379075}</x14:id>
        </ext>
      </extLst>
    </cfRule>
    <cfRule type="dataBar" priority="33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{F8362639-7193-4455-AA87-B2008B5123E2}</x14:id>
        </ext>
      </extLst>
    </cfRule>
  </conditionalFormatting>
  <conditionalFormatting sqref="L25:R25 I4:K25">
    <cfRule type="dataBar" priority="27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{A0938E16-26A5-4DA0-98A1-970919D3F771}</x14:id>
        </ext>
      </extLst>
    </cfRule>
    <cfRule type="dataBar" priority="34579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{D5E8E41D-55A4-43EF-AA6B-3C92F0BE68F7}</x14:id>
        </ext>
      </extLst>
    </cfRule>
    <cfRule type="dataBar" priority="34580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{91F7E0D9-8EE1-4422-8945-50A5C68D9F58}</x14:id>
        </ext>
      </extLst>
    </cfRule>
    <cfRule type="dataBar" priority="3458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{FDC6A89D-2B79-4815-A72D-F3AF4FFDDBE9}</x14:id>
        </ext>
      </extLst>
    </cfRule>
    <cfRule type="dataBar" priority="3458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{8668E319-132D-47F0-B713-D45872D09610}</x14:id>
        </ext>
      </extLst>
    </cfRule>
  </conditionalFormatting>
  <conditionalFormatting sqref="L25:R25 I7:K25">
    <cfRule type="dataBar" priority="34587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{E139B0B5-DC10-46C7-BC3A-61E4876B005D}</x14:id>
        </ext>
      </extLst>
    </cfRule>
    <cfRule type="dataBar" priority="34588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{E942A4BA-CB48-4055-A6D6-4A7093A41135}</x14:id>
        </ext>
      </extLst>
    </cfRule>
    <cfRule type="dataBar" priority="34589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{734D0ED4-E4A7-44AB-9B4B-29059C9D94D4}</x14:id>
        </ext>
      </extLst>
    </cfRule>
    <cfRule type="dataBar" priority="34590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{E95DB45E-5DEF-41A9-BEED-8643B98BA410}</x14:id>
        </ext>
      </extLst>
    </cfRule>
    <cfRule type="dataBar" priority="34591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{2F729A2F-F901-484F-8310-EDDCAE62412A}</x14:id>
        </ext>
      </extLst>
    </cfRule>
    <cfRule type="dataBar" priority="34592">
      <dataBar>
        <cfvo type="min"/>
        <cfvo type="max"/>
        <color rgb="FF6DA3BB"/>
      </dataBar>
      <extLst>
        <ext xmlns:x14="http://schemas.microsoft.com/office/spreadsheetml/2009/9/main" uri="{B025F937-C7B1-47D3-B67F-A62EFF666E3E}">
          <x14:id>{6BAFBADE-65D0-49E8-ABBC-6A952EE23464}</x14:id>
        </ext>
      </extLst>
    </cfRule>
  </conditionalFormatting>
  <conditionalFormatting sqref="M25">
    <cfRule type="dataBar" priority="34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{8ED38A09-D09C-49AB-B65E-D60C1650E3F3}</x14:id>
        </ext>
      </extLst>
    </cfRule>
  </conditionalFormatting>
  <conditionalFormatting sqref="N25">
    <cfRule type="dataBar" priority="34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{85327F87-1A11-4FE2-9807-CAD5E95D182E}</x14:id>
        </ext>
      </extLst>
    </cfRule>
  </conditionalFormatting>
  <pageMargins left="0.25" right="0.25" top="0.75" bottom="0.75" header="0.3" footer="0.3"/>
  <pageSetup scale="6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F51395-C592-4AA8-B2C6-2F40C3161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G4:G6</xm:sqref>
        </x14:conditionalFormatting>
        <x14:conditionalFormatting xmlns:xm="http://schemas.microsoft.com/office/excel/2006/main">
          <x14:cfRule type="dataBar" id="{361145BD-48ED-4365-82C1-6AEDB6B9C31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600DDE-7C70-4B14-92CE-FE60CB8013F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876DAE-4C58-4F66-9E7B-BFC8718823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286BB9-B7BB-4413-880E-202770FFAC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G4:G9</xm:sqref>
        </x14:conditionalFormatting>
        <x14:conditionalFormatting xmlns:xm="http://schemas.microsoft.com/office/excel/2006/main">
          <x14:cfRule type="dataBar" id="{8FA84195-F76D-4F91-AB10-73969A13B9B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88042-FC52-4BB8-B9D2-071D0502507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6F294-5D09-4F63-BEE0-62138D22149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D32AE-A79E-4361-838E-C16FBBD2FE7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69F3BE-A890-4FDF-94CA-915218E0E1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8EF909-83BC-4E67-9D85-072D8EC4B7A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27C511-1353-43B0-9726-476BE2E4FCD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58222F-DB05-46BF-81E9-A63616D9A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92847-A92A-4690-87D6-09631AC97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67EDD5-16FF-4BB7-9A3B-CC6820648E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1C90E4-288C-432D-92AA-D87195C2E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768D51-9AD0-4170-8DC4-0F8D33DBC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B1BE8C-844A-4EF2-82DA-6B67B0FB0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2ADF6-1556-4071-9D02-DFE37D58082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F97F3F-5BC3-4D07-994E-5BEF44F749E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G4:G25</xm:sqref>
        </x14:conditionalFormatting>
        <x14:conditionalFormatting xmlns:xm="http://schemas.microsoft.com/office/excel/2006/main">
          <x14:cfRule type="dataBar" id="{73A1E57A-8475-4EAA-9E53-6A9E682C4A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G5:G25</xm:sqref>
        </x14:conditionalFormatting>
        <x14:conditionalFormatting xmlns:xm="http://schemas.microsoft.com/office/excel/2006/main">
          <x14:cfRule type="dataBar" id="{1B5C13EA-4EA6-4FFD-94E8-4603625E4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G7:G25</xm:sqref>
        </x14:conditionalFormatting>
        <x14:conditionalFormatting xmlns:xm="http://schemas.microsoft.com/office/excel/2006/main">
          <x14:cfRule type="dataBar" id="{F6829CD4-38AE-48F8-9E47-BB5CF7CCDBD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01E122-4065-4EE5-83B6-702C42137D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G10:G25</xm:sqref>
        </x14:conditionalFormatting>
        <x14:conditionalFormatting xmlns:xm="http://schemas.microsoft.com/office/excel/2006/main">
          <x14:cfRule type="dataBar" id="{FC088392-2B6D-48CE-B269-73A17CADEF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G7:H9</xm:sqref>
        </x14:conditionalFormatting>
        <x14:conditionalFormatting xmlns:xm="http://schemas.microsoft.com/office/excel/2006/main">
          <x14:cfRule type="dataBar" id="{C631EC8E-449C-4E42-8DC9-C4B76BE535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G10:H25</xm:sqref>
        </x14:conditionalFormatting>
        <x14:conditionalFormatting xmlns:xm="http://schemas.microsoft.com/office/excel/2006/main">
          <x14:cfRule type="dataBar" id="{FB49D534-6CC1-4DEB-8913-25EC308400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CD4192-1A11-4E27-A4C3-CC46798A5B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4E811FA-2023-43A7-9BC3-4D72E3411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I4:I9</xm:sqref>
        </x14:conditionalFormatting>
        <x14:conditionalFormatting xmlns:xm="http://schemas.microsoft.com/office/excel/2006/main">
          <x14:cfRule type="dataBar" id="{8A817A3D-C084-4E0C-B875-11153DDAB2F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BB7AEE-A031-47AB-A2E0-237F08237FE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I4:J6</xm:sqref>
        </x14:conditionalFormatting>
        <x14:conditionalFormatting xmlns:xm="http://schemas.microsoft.com/office/excel/2006/main">
          <x14:cfRule type="dataBar" id="{9D454E8C-03E7-4682-9A87-DCDB6648469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5E9CF3-F41C-4354-998F-205D01AE7D1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I7:J9</xm:sqref>
        </x14:conditionalFormatting>
        <x14:conditionalFormatting xmlns:xm="http://schemas.microsoft.com/office/excel/2006/main">
          <x14:cfRule type="dataBar" id="{62184114-FFBA-43A2-B042-D1F475402EA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A6CD0E-944A-48D3-9167-2C5A92BF578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2F8B0C-3603-450D-8760-4754CA10835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EB0B17-779A-46C4-A07A-F222D968E10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6F90CF-4E8C-4B20-B2AF-A58237B8B52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E0358-1E31-429D-A6AC-3DC1D4B15C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I4:K6</xm:sqref>
        </x14:conditionalFormatting>
        <x14:conditionalFormatting xmlns:xm="http://schemas.microsoft.com/office/excel/2006/main">
          <x14:cfRule type="dataBar" id="{4B01EA23-0565-42A6-A60C-2406DA925C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3C9CC-65C1-4D0E-BCC0-C652313DE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1F9C3B-3609-45D6-ACFE-6F563160A6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J4:J9</xm:sqref>
        </x14:conditionalFormatting>
        <x14:conditionalFormatting xmlns:xm="http://schemas.microsoft.com/office/excel/2006/main">
          <x14:cfRule type="dataBar" id="{D7E42C56-072C-42D3-8C10-5283546B4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J4:J25 M25 Q25</xm:sqref>
        </x14:conditionalFormatting>
        <x14:conditionalFormatting xmlns:xm="http://schemas.microsoft.com/office/excel/2006/main">
          <x14:cfRule type="dataBar" id="{361416E1-965E-46E6-B1A4-92EB17E04B4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47F045-9B4D-4497-9ACB-93A034EBA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J10:J12 M25 J14:J25 Q25</xm:sqref>
        </x14:conditionalFormatting>
        <x14:conditionalFormatting xmlns:xm="http://schemas.microsoft.com/office/excel/2006/main">
          <x14:cfRule type="dataBar" id="{80884386-60CE-4510-9130-9F269907B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J10:J25 M25 Q25</xm:sqref>
        </x14:conditionalFormatting>
        <x14:conditionalFormatting xmlns:xm="http://schemas.microsoft.com/office/excel/2006/main">
          <x14:cfRule type="dataBar" id="{B9BD9C42-413E-4B11-AED2-E1214CE26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883C31-34F5-4AA7-AB39-C28E330ED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J25:R25 I4:I25</xm:sqref>
        </x14:conditionalFormatting>
        <x14:conditionalFormatting xmlns:xm="http://schemas.microsoft.com/office/excel/2006/main">
          <x14:cfRule type="dataBar" id="{AD293A3E-584D-4DEE-8CE6-2848E95C1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J25:R25 I10:I25</xm:sqref>
        </x14:conditionalFormatting>
        <x14:conditionalFormatting xmlns:xm="http://schemas.microsoft.com/office/excel/2006/main">
          <x14:cfRule type="dataBar" id="{F71963BD-8CF9-4BB0-9B25-D112EB42177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J25:R25 I10:J25</xm:sqref>
        </x14:conditionalFormatting>
        <x14:conditionalFormatting xmlns:xm="http://schemas.microsoft.com/office/excel/2006/main">
          <x14:cfRule type="dataBar" id="{80D32659-5C01-425E-A8CD-D7423E32F9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2B0E7E-FBA8-4C51-A7BD-BCDB1EC67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J25:R25 J13:K13 R13 I10:I25</xm:sqref>
        </x14:conditionalFormatting>
        <x14:conditionalFormatting xmlns:xm="http://schemas.microsoft.com/office/excel/2006/main">
          <x14:cfRule type="dataBar" id="{FBCBB2E4-95F1-417A-8F41-6B356F57A78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BCC5C5-E2D4-4312-9453-8943FA5BF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559DB1-E503-42EB-9FC2-FB792C2CFA6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87EA85-2F81-4400-BEBE-61B35FE1344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7506AE-EFE5-411A-8D8F-F358D297E6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K4:K9</xm:sqref>
        </x14:conditionalFormatting>
        <x14:conditionalFormatting xmlns:xm="http://schemas.microsoft.com/office/excel/2006/main">
          <x14:cfRule type="dataBar" id="{3AF56191-D1EA-4639-A7CE-64CDCCDA29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K4:K25 N25 R25</xm:sqref>
        </x14:conditionalFormatting>
        <x14:conditionalFormatting xmlns:xm="http://schemas.microsoft.com/office/excel/2006/main">
          <x14:cfRule type="dataBar" id="{126D1B02-6F08-43D2-B487-C0EE77B9BA4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5DD107-8A40-42F8-8EC5-9AAB65DF7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K10:K12 N25 K14:K25 R25</xm:sqref>
        </x14:conditionalFormatting>
        <x14:conditionalFormatting xmlns:xm="http://schemas.microsoft.com/office/excel/2006/main">
          <x14:cfRule type="dataBar" id="{35B8DE27-3B84-4160-A1BD-A2D0745AD7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09642B-2518-4964-819D-3D894CEDF37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K10:K25 N25 R25</xm:sqref>
        </x14:conditionalFormatting>
        <x14:conditionalFormatting xmlns:xm="http://schemas.microsoft.com/office/excel/2006/main">
          <x14:cfRule type="dataBar" id="{EE90B96B-8896-499E-95A2-97B908D6994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67D264-E32B-4C2B-B6C1-F55E11EE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69CA38-D0C5-4220-88AC-6D6A8E5FB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F7AE51-A0A3-4F29-BB2D-054ECE8344E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DE81BF-2AE5-42EB-86A1-57CB933EF5B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551976-E6D6-4285-AB48-4AF4C99ACCB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167663-E18B-4C7F-B7C9-4F3F83C2AA6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5BF40E-3D06-4494-AFAC-BCD67C71D33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075D43-FDC5-461A-8C83-D80B5B50A17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9E95D2-0039-4418-AD3F-39B3D1C697F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F279A6-AEC0-4BDE-B7FA-E83FC837907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362639-7193-4455-AA87-B2008B51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0938E16-26A5-4DA0-98A1-970919D3F77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E8E41D-55A4-43EF-AA6B-3C92F0BE68F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F7E0D9-8EE1-4422-8945-50A5C68D9F5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C6A89D-2B79-4815-A72D-F3AF4FFDDBE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68E319-132D-47F0-B713-D45872D0961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L25:R25 I4:K25</xm:sqref>
        </x14:conditionalFormatting>
        <x14:conditionalFormatting xmlns:xm="http://schemas.microsoft.com/office/excel/2006/main">
          <x14:cfRule type="dataBar" id="{E139B0B5-DC10-46C7-BC3A-61E4876B00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42A4BA-CB48-4055-A6D6-4A7093A4113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D0ED4-E4A7-44AB-9B4B-29059C9D94D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5DB45E-5DEF-41A9-BEED-8643B98BA41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729A2F-F901-484F-8310-EDDCAE62412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AFBADE-65D0-49E8-ABBC-6A952EE2346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L25:R25 I7:K25</xm:sqref>
        </x14:conditionalFormatting>
        <x14:conditionalFormatting xmlns:xm="http://schemas.microsoft.com/office/excel/2006/main">
          <x14:cfRule type="dataBar" id="{8ED38A09-D09C-49AB-B65E-D60C1650E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85327F87-1A11-4FE2-9807-CAD5E95D1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441B-A24D-4339-8FCF-DD38DD7E4A81}">
  <sheetPr>
    <pageSetUpPr fitToPage="1"/>
  </sheetPr>
  <dimension ref="A1:S79"/>
  <sheetViews>
    <sheetView zoomScaleNormal="100" workbookViewId="0">
      <selection activeCell="X19" sqref="X19"/>
    </sheetView>
  </sheetViews>
  <sheetFormatPr defaultColWidth="8.7265625" defaultRowHeight="15" customHeight="1" x14ac:dyDescent="0.35"/>
  <cols>
    <col min="1" max="1" width="1.453125" style="1" customWidth="1"/>
    <col min="2" max="2" width="2.81640625" style="1" customWidth="1"/>
    <col min="3" max="3" width="5.7265625" style="1" customWidth="1"/>
    <col min="4" max="4" width="7.26953125" style="1" customWidth="1"/>
    <col min="5" max="5" width="8.81640625" style="1" bestFit="1" customWidth="1"/>
    <col min="6" max="6" width="10.26953125" style="1" customWidth="1"/>
    <col min="7" max="8" width="10.54296875" style="1" customWidth="1"/>
    <col min="9" max="9" width="10.1796875" style="1" bestFit="1" customWidth="1"/>
    <col min="10" max="11" width="7.453125" style="1" customWidth="1"/>
    <col min="12" max="12" width="7.7265625" style="1" customWidth="1"/>
    <col min="13" max="13" width="5.7265625" style="1" customWidth="1"/>
    <col min="14" max="14" width="7.7265625" style="1" customWidth="1"/>
    <col min="15" max="15" width="8.1796875" style="1" customWidth="1"/>
    <col min="16" max="17" width="7.26953125" style="1" customWidth="1"/>
    <col min="18" max="18" width="5.54296875" style="1" customWidth="1"/>
    <col min="19" max="16384" width="8.7265625" style="1"/>
  </cols>
  <sheetData>
    <row r="1" spans="1:19" ht="7.9" customHeight="1" x14ac:dyDescent="0.3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4" customFormat="1" ht="22.5" customHeight="1" x14ac:dyDescent="0.4">
      <c r="B2" s="56" t="s">
        <v>0</v>
      </c>
      <c r="C2" s="57"/>
      <c r="D2" s="58"/>
      <c r="E2" s="58"/>
      <c r="F2" s="58"/>
      <c r="G2" s="59" t="s">
        <v>86</v>
      </c>
      <c r="H2" s="59"/>
      <c r="I2" s="59"/>
      <c r="J2" s="60" t="s">
        <v>2</v>
      </c>
      <c r="K2" s="61"/>
      <c r="L2" s="62" t="s">
        <v>3</v>
      </c>
      <c r="M2" s="62"/>
      <c r="N2" s="62"/>
      <c r="O2" s="62"/>
      <c r="P2" s="79" t="s">
        <v>4</v>
      </c>
      <c r="Q2" s="79"/>
      <c r="R2" s="80" t="s">
        <v>56</v>
      </c>
    </row>
    <row r="3" spans="1:19" s="2" customFormat="1" ht="16" customHeight="1" x14ac:dyDescent="0.4">
      <c r="A3" s="37"/>
      <c r="B3" s="131" t="s">
        <v>43</v>
      </c>
      <c r="C3" s="81" t="s">
        <v>5</v>
      </c>
      <c r="D3" s="81" t="s">
        <v>7</v>
      </c>
      <c r="E3" s="81" t="s">
        <v>8</v>
      </c>
      <c r="F3" s="81" t="s">
        <v>9</v>
      </c>
      <c r="G3" s="81" t="s">
        <v>10</v>
      </c>
      <c r="H3" s="81" t="s">
        <v>83</v>
      </c>
      <c r="I3" s="81" t="s">
        <v>84</v>
      </c>
      <c r="J3" s="81" t="s">
        <v>13</v>
      </c>
      <c r="K3" s="81" t="s">
        <v>14</v>
      </c>
      <c r="L3" s="81" t="s">
        <v>16</v>
      </c>
      <c r="M3" s="81" t="s">
        <v>17</v>
      </c>
      <c r="N3" s="81" t="s">
        <v>18</v>
      </c>
      <c r="O3" s="81" t="s">
        <v>19</v>
      </c>
      <c r="P3" s="81" t="s">
        <v>20</v>
      </c>
      <c r="Q3" s="81" t="s">
        <v>21</v>
      </c>
      <c r="R3" s="81" t="s">
        <v>22</v>
      </c>
      <c r="S3" s="37"/>
    </row>
    <row r="4" spans="1:19" s="2" customFormat="1" ht="16" customHeight="1" x14ac:dyDescent="0.35">
      <c r="A4" s="37"/>
      <c r="B4" s="132"/>
      <c r="C4" s="92">
        <v>5507</v>
      </c>
      <c r="D4" s="65">
        <v>37987</v>
      </c>
      <c r="E4" s="93" t="s">
        <v>126</v>
      </c>
      <c r="F4" s="94" t="s">
        <v>49</v>
      </c>
      <c r="G4" s="95">
        <v>3.99</v>
      </c>
      <c r="H4" s="95">
        <v>3.3</v>
      </c>
      <c r="I4" s="101">
        <v>45841</v>
      </c>
      <c r="J4" s="92">
        <v>1014</v>
      </c>
      <c r="K4" s="92">
        <v>6944</v>
      </c>
      <c r="L4" s="96" t="s">
        <v>38</v>
      </c>
      <c r="M4" s="94" t="s">
        <v>24</v>
      </c>
      <c r="N4" s="94" t="s">
        <v>40</v>
      </c>
      <c r="O4" s="97">
        <v>47027</v>
      </c>
      <c r="P4" s="92">
        <v>2013</v>
      </c>
      <c r="Q4" s="92">
        <v>2013</v>
      </c>
      <c r="R4" s="92">
        <v>8</v>
      </c>
      <c r="S4" s="37"/>
    </row>
    <row r="5" spans="1:19" s="2" customFormat="1" ht="14.15" customHeight="1" x14ac:dyDescent="0.35">
      <c r="A5" s="37"/>
      <c r="B5" s="132"/>
      <c r="C5" s="92">
        <v>5519</v>
      </c>
      <c r="D5" s="65">
        <v>38167</v>
      </c>
      <c r="E5" s="93" t="s">
        <v>90</v>
      </c>
      <c r="F5" s="94" t="s">
        <v>49</v>
      </c>
      <c r="G5" s="95">
        <v>4.59</v>
      </c>
      <c r="H5" s="95" t="s">
        <v>42</v>
      </c>
      <c r="I5" s="101">
        <v>45749</v>
      </c>
      <c r="J5" s="92">
        <v>8684</v>
      </c>
      <c r="K5" s="92">
        <v>7270</v>
      </c>
      <c r="L5" s="96" t="s">
        <v>33</v>
      </c>
      <c r="M5" s="94" t="s">
        <v>36</v>
      </c>
      <c r="N5" s="94" t="s">
        <v>40</v>
      </c>
      <c r="O5" s="97">
        <v>46631</v>
      </c>
      <c r="P5" s="92">
        <v>2015</v>
      </c>
      <c r="Q5" s="92">
        <v>2015</v>
      </c>
      <c r="R5" s="92">
        <v>9</v>
      </c>
      <c r="S5" s="37"/>
    </row>
    <row r="6" spans="1:19" s="2" customFormat="1" ht="14.15" customHeight="1" x14ac:dyDescent="0.35">
      <c r="A6" s="37"/>
      <c r="B6" s="132"/>
      <c r="C6" s="64">
        <v>5589</v>
      </c>
      <c r="D6" s="65">
        <v>38625</v>
      </c>
      <c r="E6" s="66" t="s">
        <v>102</v>
      </c>
      <c r="F6" s="67" t="s">
        <v>49</v>
      </c>
      <c r="G6" s="68">
        <v>5.7</v>
      </c>
      <c r="H6" s="68">
        <v>5.5</v>
      </c>
      <c r="I6" s="72">
        <v>45742</v>
      </c>
      <c r="J6" s="64">
        <v>3820</v>
      </c>
      <c r="K6" s="64">
        <v>3562</v>
      </c>
      <c r="L6" s="70" t="s">
        <v>24</v>
      </c>
      <c r="M6" s="67" t="s">
        <v>24</v>
      </c>
      <c r="N6" s="67" t="s">
        <v>24</v>
      </c>
      <c r="O6" s="71">
        <v>46539</v>
      </c>
      <c r="P6" s="64">
        <v>2018</v>
      </c>
      <c r="Q6" s="64">
        <v>2018</v>
      </c>
      <c r="R6" s="64">
        <v>9</v>
      </c>
      <c r="S6" s="37"/>
    </row>
    <row r="7" spans="1:19" s="2" customFormat="1" ht="14.15" customHeight="1" x14ac:dyDescent="0.35">
      <c r="A7" s="37"/>
      <c r="B7" s="132"/>
      <c r="C7" s="64">
        <v>5596</v>
      </c>
      <c r="D7" s="65">
        <v>38353</v>
      </c>
      <c r="E7" s="66" t="s">
        <v>91</v>
      </c>
      <c r="F7" s="67" t="s">
        <v>49</v>
      </c>
      <c r="G7" s="68" t="s">
        <v>29</v>
      </c>
      <c r="H7" s="68">
        <v>7</v>
      </c>
      <c r="I7" s="69">
        <v>46000</v>
      </c>
      <c r="J7" s="64">
        <v>7050</v>
      </c>
      <c r="K7" s="64">
        <v>4228</v>
      </c>
      <c r="L7" s="73" t="s">
        <v>33</v>
      </c>
      <c r="M7" s="67" t="s">
        <v>24</v>
      </c>
      <c r="N7" s="67" t="s">
        <v>31</v>
      </c>
      <c r="O7" s="71">
        <v>46874</v>
      </c>
      <c r="P7" s="64">
        <v>2020</v>
      </c>
      <c r="Q7" s="64">
        <v>2023</v>
      </c>
      <c r="R7" s="64">
        <v>8</v>
      </c>
      <c r="S7" s="37"/>
    </row>
    <row r="8" spans="1:19" s="2" customFormat="1" ht="14.15" customHeight="1" x14ac:dyDescent="0.35">
      <c r="A8" s="37"/>
      <c r="B8" s="132"/>
      <c r="C8" s="64">
        <v>5597</v>
      </c>
      <c r="D8" s="65">
        <v>38718</v>
      </c>
      <c r="E8" s="115" t="s">
        <v>167</v>
      </c>
      <c r="F8" s="67" t="s">
        <v>49</v>
      </c>
      <c r="G8" s="68" t="s">
        <v>29</v>
      </c>
      <c r="H8" s="68" t="s">
        <v>42</v>
      </c>
      <c r="I8" s="69">
        <v>45993</v>
      </c>
      <c r="J8" s="64">
        <v>5080</v>
      </c>
      <c r="K8" s="64">
        <v>3049</v>
      </c>
      <c r="L8" s="73" t="s">
        <v>33</v>
      </c>
      <c r="M8" s="67" t="s">
        <v>24</v>
      </c>
      <c r="N8" s="67" t="s">
        <v>24</v>
      </c>
      <c r="O8" s="71">
        <v>47331</v>
      </c>
      <c r="P8" s="64">
        <v>2019</v>
      </c>
      <c r="Q8" s="64">
        <v>2006</v>
      </c>
      <c r="R8" s="64">
        <v>8</v>
      </c>
      <c r="S8" s="37"/>
    </row>
    <row r="9" spans="1:19" s="2" customFormat="1" ht="14.15" customHeight="1" x14ac:dyDescent="0.35">
      <c r="A9" s="37"/>
      <c r="B9" s="132"/>
      <c r="C9" s="64">
        <v>5598</v>
      </c>
      <c r="D9" s="65">
        <v>38718</v>
      </c>
      <c r="E9" s="66" t="s">
        <v>44</v>
      </c>
      <c r="F9" s="67" t="s">
        <v>45</v>
      </c>
      <c r="G9" s="68">
        <v>4.9800000000000004</v>
      </c>
      <c r="H9" s="68">
        <v>4.5999999999999996</v>
      </c>
      <c r="I9" s="69">
        <v>45931</v>
      </c>
      <c r="J9" s="64">
        <v>2010</v>
      </c>
      <c r="K9" s="64">
        <v>1551</v>
      </c>
      <c r="L9" s="70" t="s">
        <v>24</v>
      </c>
      <c r="M9" s="67" t="s">
        <v>24</v>
      </c>
      <c r="N9" s="67" t="s">
        <v>24</v>
      </c>
      <c r="O9" s="71">
        <v>46023</v>
      </c>
      <c r="P9" s="64">
        <v>2006</v>
      </c>
      <c r="Q9" s="64">
        <v>2006</v>
      </c>
      <c r="R9" s="64">
        <v>8</v>
      </c>
      <c r="S9" s="37"/>
    </row>
    <row r="10" spans="1:19" s="2" customFormat="1" ht="14.15" customHeight="1" x14ac:dyDescent="0.35">
      <c r="A10" s="37"/>
      <c r="B10" s="132"/>
      <c r="C10" s="64">
        <v>5610</v>
      </c>
      <c r="D10" s="65">
        <v>38718</v>
      </c>
      <c r="E10" s="66" t="s">
        <v>146</v>
      </c>
      <c r="F10" s="67" t="s">
        <v>49</v>
      </c>
      <c r="G10" s="68">
        <v>7.3</v>
      </c>
      <c r="H10" s="68">
        <v>7.1</v>
      </c>
      <c r="I10" s="69">
        <v>45954</v>
      </c>
      <c r="J10" s="64">
        <v>4160</v>
      </c>
      <c r="K10" s="64">
        <v>2912</v>
      </c>
      <c r="L10" s="73" t="s">
        <v>33</v>
      </c>
      <c r="M10" s="67" t="s">
        <v>24</v>
      </c>
      <c r="N10" s="67" t="s">
        <v>24</v>
      </c>
      <c r="O10" s="71">
        <v>46082</v>
      </c>
      <c r="P10" s="64">
        <v>2022</v>
      </c>
      <c r="Q10" s="64">
        <v>2006</v>
      </c>
      <c r="R10" s="64">
        <v>8</v>
      </c>
      <c r="S10" s="37"/>
    </row>
    <row r="11" spans="1:19" s="2" customFormat="1" ht="14.15" customHeight="1" x14ac:dyDescent="0.35">
      <c r="A11" s="37"/>
      <c r="B11" s="132"/>
      <c r="C11" s="64">
        <v>5613</v>
      </c>
      <c r="D11" s="65">
        <v>38718</v>
      </c>
      <c r="E11" s="66" t="s">
        <v>149</v>
      </c>
      <c r="F11" s="67" t="s">
        <v>49</v>
      </c>
      <c r="G11" s="68">
        <v>6.5</v>
      </c>
      <c r="H11" s="68" t="s">
        <v>42</v>
      </c>
      <c r="I11" s="69">
        <v>45979</v>
      </c>
      <c r="J11" s="64">
        <v>4595</v>
      </c>
      <c r="K11" s="64">
        <v>4233</v>
      </c>
      <c r="L11" s="73" t="s">
        <v>39</v>
      </c>
      <c r="M11" s="67" t="s">
        <v>36</v>
      </c>
      <c r="N11" s="67" t="s">
        <v>40</v>
      </c>
      <c r="O11" s="71">
        <v>46082</v>
      </c>
      <c r="P11" s="64">
        <v>2021</v>
      </c>
      <c r="Q11" s="64">
        <v>2022</v>
      </c>
      <c r="R11" s="64">
        <v>8</v>
      </c>
      <c r="S11" s="37"/>
    </row>
    <row r="12" spans="1:19" s="2" customFormat="1" ht="14.15" customHeight="1" x14ac:dyDescent="0.35">
      <c r="A12" s="37"/>
      <c r="B12" s="132"/>
      <c r="C12" s="64">
        <v>5618</v>
      </c>
      <c r="D12" s="65">
        <v>38718</v>
      </c>
      <c r="E12" s="66" t="s">
        <v>113</v>
      </c>
      <c r="F12" s="67" t="s">
        <v>49</v>
      </c>
      <c r="G12" s="68">
        <v>7.19</v>
      </c>
      <c r="H12" s="68">
        <v>6.9</v>
      </c>
      <c r="I12" s="69">
        <v>45940</v>
      </c>
      <c r="J12" s="64">
        <v>4915</v>
      </c>
      <c r="K12" s="64">
        <v>3802</v>
      </c>
      <c r="L12" s="73" t="s">
        <v>39</v>
      </c>
      <c r="M12" s="67" t="s">
        <v>36</v>
      </c>
      <c r="N12" s="67" t="s">
        <v>40</v>
      </c>
      <c r="O12" s="71">
        <v>47088</v>
      </c>
      <c r="P12" s="64">
        <v>2019</v>
      </c>
      <c r="Q12" s="64">
        <v>2019</v>
      </c>
      <c r="R12" s="64">
        <v>8</v>
      </c>
      <c r="S12" s="37"/>
    </row>
    <row r="13" spans="1:19" s="2" customFormat="1" ht="14.15" customHeight="1" x14ac:dyDescent="0.35">
      <c r="A13" s="37"/>
      <c r="B13" s="132"/>
      <c r="C13" s="64">
        <v>5620</v>
      </c>
      <c r="D13" s="65">
        <v>38718</v>
      </c>
      <c r="E13" s="66" t="s">
        <v>118</v>
      </c>
      <c r="F13" s="67" t="s">
        <v>49</v>
      </c>
      <c r="G13" s="68">
        <v>5.69</v>
      </c>
      <c r="H13" s="68">
        <v>5.5</v>
      </c>
      <c r="I13" s="72">
        <v>45897</v>
      </c>
      <c r="J13" s="64">
        <v>2970</v>
      </c>
      <c r="K13" s="64">
        <v>2703</v>
      </c>
      <c r="L13" s="73" t="s">
        <v>23</v>
      </c>
      <c r="M13" s="67" t="s">
        <v>24</v>
      </c>
      <c r="N13" s="67" t="s">
        <v>24</v>
      </c>
      <c r="O13" s="71">
        <v>46113</v>
      </c>
      <c r="P13" s="64">
        <v>2006</v>
      </c>
      <c r="Q13" s="64">
        <v>2006</v>
      </c>
      <c r="R13" s="64">
        <v>8</v>
      </c>
      <c r="S13" s="37"/>
    </row>
    <row r="14" spans="1:19" s="2" customFormat="1" ht="14.15" customHeight="1" x14ac:dyDescent="0.35">
      <c r="A14" s="37"/>
      <c r="B14" s="132"/>
      <c r="C14" s="64">
        <v>5628</v>
      </c>
      <c r="D14" s="65">
        <v>38718</v>
      </c>
      <c r="E14" s="66" t="s">
        <v>168</v>
      </c>
      <c r="F14" s="67" t="s">
        <v>49</v>
      </c>
      <c r="G14" s="68">
        <v>7.49</v>
      </c>
      <c r="H14" s="68" t="s">
        <v>42</v>
      </c>
      <c r="I14" s="69">
        <v>46015</v>
      </c>
      <c r="J14" s="64">
        <v>5950</v>
      </c>
      <c r="K14" s="64">
        <v>4222</v>
      </c>
      <c r="L14" s="73" t="s">
        <v>38</v>
      </c>
      <c r="M14" s="67" t="s">
        <v>24</v>
      </c>
      <c r="N14" s="67" t="s">
        <v>24</v>
      </c>
      <c r="O14" s="71">
        <v>46174</v>
      </c>
      <c r="P14" s="64">
        <v>2024</v>
      </c>
      <c r="Q14" s="64">
        <v>2024</v>
      </c>
      <c r="R14" s="64">
        <v>8</v>
      </c>
      <c r="S14" s="37"/>
    </row>
    <row r="15" spans="1:19" s="2" customFormat="1" ht="14.15" customHeight="1" x14ac:dyDescent="0.35">
      <c r="A15" s="37"/>
      <c r="B15" s="132"/>
      <c r="C15" s="64">
        <v>5632</v>
      </c>
      <c r="D15" s="65">
        <v>38718</v>
      </c>
      <c r="E15" s="66" t="s">
        <v>92</v>
      </c>
      <c r="F15" s="67" t="s">
        <v>49</v>
      </c>
      <c r="G15" s="68">
        <v>4.09</v>
      </c>
      <c r="H15" s="68" t="s">
        <v>42</v>
      </c>
      <c r="I15" s="72">
        <v>45806</v>
      </c>
      <c r="J15" s="64">
        <v>9730</v>
      </c>
      <c r="K15" s="64">
        <v>7536</v>
      </c>
      <c r="L15" s="73" t="s">
        <v>23</v>
      </c>
      <c r="M15" s="67" t="s">
        <v>24</v>
      </c>
      <c r="N15" s="67" t="s">
        <v>23</v>
      </c>
      <c r="O15" s="71">
        <v>46174</v>
      </c>
      <c r="P15" s="64">
        <v>2018</v>
      </c>
      <c r="Q15" s="64">
        <v>2006</v>
      </c>
      <c r="R15" s="64">
        <v>8</v>
      </c>
      <c r="S15" s="37"/>
    </row>
    <row r="16" spans="1:19" s="2" customFormat="1" ht="14.15" customHeight="1" x14ac:dyDescent="0.35">
      <c r="A16" s="37"/>
      <c r="B16" s="132"/>
      <c r="C16" s="64">
        <v>5637</v>
      </c>
      <c r="D16" s="65">
        <v>39083</v>
      </c>
      <c r="E16" s="66" t="s">
        <v>127</v>
      </c>
      <c r="F16" s="67" t="s">
        <v>49</v>
      </c>
      <c r="G16" s="68">
        <v>3.99</v>
      </c>
      <c r="H16" s="68">
        <v>3.8</v>
      </c>
      <c r="I16" s="72">
        <v>45798</v>
      </c>
      <c r="J16" s="64">
        <v>13475</v>
      </c>
      <c r="K16" s="64">
        <v>9761</v>
      </c>
      <c r="L16" s="73" t="s">
        <v>122</v>
      </c>
      <c r="M16" s="67" t="s">
        <v>24</v>
      </c>
      <c r="N16" s="67" t="s">
        <v>31</v>
      </c>
      <c r="O16" s="71">
        <v>46419</v>
      </c>
      <c r="P16" s="64">
        <v>2023</v>
      </c>
      <c r="Q16" s="64">
        <v>2021</v>
      </c>
      <c r="R16" s="64">
        <v>8</v>
      </c>
      <c r="S16" s="37"/>
    </row>
    <row r="17" spans="1:19" s="2" customFormat="1" ht="14.15" customHeight="1" x14ac:dyDescent="0.35">
      <c r="A17" s="37"/>
      <c r="B17" s="132"/>
      <c r="C17" s="64">
        <v>5652</v>
      </c>
      <c r="D17" s="65">
        <v>38718</v>
      </c>
      <c r="E17" s="66" t="s">
        <v>119</v>
      </c>
      <c r="F17" s="67" t="s">
        <v>49</v>
      </c>
      <c r="G17" s="68">
        <v>4.6500000000000004</v>
      </c>
      <c r="H17" s="68">
        <v>4.3</v>
      </c>
      <c r="I17" s="69">
        <v>45947</v>
      </c>
      <c r="J17" s="64">
        <v>8520</v>
      </c>
      <c r="K17" s="64">
        <v>6908</v>
      </c>
      <c r="L17" s="73" t="s">
        <v>30</v>
      </c>
      <c r="M17" s="67" t="s">
        <v>24</v>
      </c>
      <c r="N17" s="67" t="s">
        <v>31</v>
      </c>
      <c r="O17" s="71">
        <v>46113</v>
      </c>
      <c r="P17" s="64">
        <v>2017</v>
      </c>
      <c r="Q17" s="64">
        <v>2014</v>
      </c>
      <c r="R17" s="64">
        <v>8</v>
      </c>
      <c r="S17" s="37"/>
    </row>
    <row r="18" spans="1:19" s="2" customFormat="1" ht="14.15" customHeight="1" x14ac:dyDescent="0.35">
      <c r="A18" s="37"/>
      <c r="B18" s="132"/>
      <c r="C18" s="64">
        <v>5695</v>
      </c>
      <c r="D18" s="65">
        <v>39083</v>
      </c>
      <c r="E18" s="66" t="s">
        <v>150</v>
      </c>
      <c r="F18" s="67" t="s">
        <v>49</v>
      </c>
      <c r="G18" s="68" t="s">
        <v>29</v>
      </c>
      <c r="H18" s="68">
        <v>7</v>
      </c>
      <c r="I18" s="69">
        <v>45971</v>
      </c>
      <c r="J18" s="64">
        <v>3960</v>
      </c>
      <c r="K18" s="64">
        <v>3238</v>
      </c>
      <c r="L18" s="73" t="s">
        <v>39</v>
      </c>
      <c r="M18" s="67" t="s">
        <v>24</v>
      </c>
      <c r="N18" s="67" t="s">
        <v>40</v>
      </c>
      <c r="O18" s="71">
        <v>46357</v>
      </c>
      <c r="P18" s="64">
        <v>2007</v>
      </c>
      <c r="Q18" s="64">
        <v>2007</v>
      </c>
      <c r="R18" s="64">
        <v>8</v>
      </c>
      <c r="S18" s="37"/>
    </row>
    <row r="19" spans="1:19" s="2" customFormat="1" ht="14.15" customHeight="1" x14ac:dyDescent="0.35">
      <c r="A19" s="37"/>
      <c r="B19" s="132"/>
      <c r="C19" s="64">
        <v>5699</v>
      </c>
      <c r="D19" s="65">
        <v>39083</v>
      </c>
      <c r="E19" s="66" t="s">
        <v>137</v>
      </c>
      <c r="F19" s="67" t="s">
        <v>49</v>
      </c>
      <c r="G19" s="68">
        <v>6.89</v>
      </c>
      <c r="H19" s="68">
        <v>6.7</v>
      </c>
      <c r="I19" s="72">
        <v>45876</v>
      </c>
      <c r="J19" s="64">
        <v>3530</v>
      </c>
      <c r="K19" s="64">
        <v>3671</v>
      </c>
      <c r="L19" s="73" t="s">
        <v>39</v>
      </c>
      <c r="M19" s="67" t="s">
        <v>36</v>
      </c>
      <c r="N19" s="67" t="s">
        <v>40</v>
      </c>
      <c r="O19" s="71">
        <v>46508</v>
      </c>
      <c r="P19" s="64">
        <v>2016</v>
      </c>
      <c r="Q19" s="64">
        <v>2007</v>
      </c>
      <c r="R19" s="64">
        <v>8</v>
      </c>
      <c r="S19" s="37"/>
    </row>
    <row r="20" spans="1:19" s="2" customFormat="1" ht="14.15" customHeight="1" x14ac:dyDescent="0.35">
      <c r="A20" s="37"/>
      <c r="B20" s="132"/>
      <c r="C20" s="64">
        <v>5709</v>
      </c>
      <c r="D20" s="65">
        <v>39084</v>
      </c>
      <c r="E20" s="66" t="s">
        <v>133</v>
      </c>
      <c r="F20" s="67" t="s">
        <v>49</v>
      </c>
      <c r="G20" s="68" t="s">
        <v>29</v>
      </c>
      <c r="H20" s="68">
        <v>5.8</v>
      </c>
      <c r="I20" s="69">
        <v>46052</v>
      </c>
      <c r="J20" s="64">
        <v>6466</v>
      </c>
      <c r="K20" s="64">
        <v>5145</v>
      </c>
      <c r="L20" s="73" t="s">
        <v>39</v>
      </c>
      <c r="M20" s="67" t="s">
        <v>24</v>
      </c>
      <c r="N20" s="67" t="s">
        <v>23</v>
      </c>
      <c r="O20" s="71">
        <v>46600</v>
      </c>
      <c r="P20" s="64">
        <v>2019</v>
      </c>
      <c r="Q20" s="64">
        <v>2018</v>
      </c>
      <c r="R20" s="64">
        <v>9</v>
      </c>
      <c r="S20" s="37"/>
    </row>
    <row r="21" spans="1:19" s="2" customFormat="1" ht="14.15" customHeight="1" x14ac:dyDescent="0.35">
      <c r="A21" s="37"/>
      <c r="B21" s="132"/>
      <c r="C21" s="64">
        <v>5713</v>
      </c>
      <c r="D21" s="65">
        <v>39115</v>
      </c>
      <c r="E21" s="66" t="s">
        <v>108</v>
      </c>
      <c r="F21" s="67" t="s">
        <v>49</v>
      </c>
      <c r="G21" s="68" t="s">
        <v>29</v>
      </c>
      <c r="H21" s="68">
        <v>6</v>
      </c>
      <c r="I21" s="72">
        <v>45736</v>
      </c>
      <c r="J21" s="64">
        <v>4255</v>
      </c>
      <c r="K21" s="64">
        <v>3291</v>
      </c>
      <c r="L21" s="73" t="s">
        <v>39</v>
      </c>
      <c r="M21" s="67" t="s">
        <v>24</v>
      </c>
      <c r="N21" s="67" t="s">
        <v>40</v>
      </c>
      <c r="O21" s="71">
        <v>46539</v>
      </c>
      <c r="P21" s="64">
        <v>2007</v>
      </c>
      <c r="Q21" s="64">
        <v>2007</v>
      </c>
      <c r="R21" s="64">
        <v>9</v>
      </c>
      <c r="S21" s="37"/>
    </row>
    <row r="22" spans="1:19" s="2" customFormat="1" ht="14.15" customHeight="1" x14ac:dyDescent="0.35">
      <c r="A22" s="37"/>
      <c r="B22" s="132"/>
      <c r="C22" s="64">
        <v>5717</v>
      </c>
      <c r="D22" s="65">
        <v>39083</v>
      </c>
      <c r="E22" s="66" t="s">
        <v>120</v>
      </c>
      <c r="F22" s="67" t="s">
        <v>49</v>
      </c>
      <c r="G22" s="68" t="s">
        <v>29</v>
      </c>
      <c r="H22" s="68">
        <v>7.5</v>
      </c>
      <c r="I22" s="69">
        <v>45960</v>
      </c>
      <c r="J22" s="64">
        <v>3590</v>
      </c>
      <c r="K22" s="64">
        <v>2296</v>
      </c>
      <c r="L22" s="73" t="s">
        <v>33</v>
      </c>
      <c r="M22" s="67" t="s">
        <v>36</v>
      </c>
      <c r="N22" s="67" t="s">
        <v>40</v>
      </c>
      <c r="O22" s="71">
        <v>46600</v>
      </c>
      <c r="P22" s="64">
        <v>2007</v>
      </c>
      <c r="Q22" s="64">
        <v>2018</v>
      </c>
      <c r="R22" s="64">
        <v>7</v>
      </c>
      <c r="S22" s="37"/>
    </row>
    <row r="23" spans="1:19" s="2" customFormat="1" ht="14.15" customHeight="1" x14ac:dyDescent="0.35">
      <c r="A23" s="37"/>
      <c r="B23" s="132"/>
      <c r="C23" s="64">
        <v>5728</v>
      </c>
      <c r="D23" s="65">
        <v>39116</v>
      </c>
      <c r="E23" s="66" t="s">
        <v>103</v>
      </c>
      <c r="F23" s="67" t="s">
        <v>49</v>
      </c>
      <c r="G23" s="68">
        <v>6.49</v>
      </c>
      <c r="H23" s="68" t="s">
        <v>42</v>
      </c>
      <c r="I23" s="72">
        <v>45790</v>
      </c>
      <c r="J23" s="64">
        <v>6421</v>
      </c>
      <c r="K23" s="64">
        <v>4642</v>
      </c>
      <c r="L23" s="73" t="s">
        <v>39</v>
      </c>
      <c r="M23" s="67" t="s">
        <v>36</v>
      </c>
      <c r="N23" s="67" t="s">
        <v>40</v>
      </c>
      <c r="O23" s="71">
        <v>46661</v>
      </c>
      <c r="P23" s="64">
        <v>2007</v>
      </c>
      <c r="Q23" s="64">
        <v>2007</v>
      </c>
      <c r="R23" s="64">
        <v>9</v>
      </c>
      <c r="S23" s="37"/>
    </row>
    <row r="24" spans="1:19" s="2" customFormat="1" ht="14.15" customHeight="1" x14ac:dyDescent="0.35">
      <c r="A24" s="37"/>
      <c r="B24" s="132"/>
      <c r="C24" s="64">
        <v>5781</v>
      </c>
      <c r="D24" s="65">
        <v>39448</v>
      </c>
      <c r="E24" s="66" t="s">
        <v>46</v>
      </c>
      <c r="F24" s="67" t="s">
        <v>27</v>
      </c>
      <c r="G24" s="68" t="s">
        <v>29</v>
      </c>
      <c r="H24" s="68">
        <v>5.2</v>
      </c>
      <c r="I24" s="72">
        <v>45894</v>
      </c>
      <c r="J24" s="64">
        <v>5190</v>
      </c>
      <c r="K24" s="64">
        <v>4197</v>
      </c>
      <c r="L24" s="73" t="s">
        <v>39</v>
      </c>
      <c r="M24" s="67" t="s">
        <v>36</v>
      </c>
      <c r="N24" s="67" t="s">
        <v>37</v>
      </c>
      <c r="O24" s="71">
        <v>45992</v>
      </c>
      <c r="P24" s="64">
        <v>2008</v>
      </c>
      <c r="Q24" s="64">
        <v>2008</v>
      </c>
      <c r="R24" s="64">
        <v>8</v>
      </c>
      <c r="S24" s="37"/>
    </row>
    <row r="25" spans="1:19" s="2" customFormat="1" ht="14.15" customHeight="1" x14ac:dyDescent="0.35">
      <c r="A25" s="37"/>
      <c r="B25" s="132"/>
      <c r="C25" s="64">
        <v>5793</v>
      </c>
      <c r="D25" s="65">
        <v>39449</v>
      </c>
      <c r="E25" s="67" t="s">
        <v>95</v>
      </c>
      <c r="F25" s="67" t="s">
        <v>49</v>
      </c>
      <c r="G25" s="68">
        <v>4.8</v>
      </c>
      <c r="H25" s="68">
        <v>4.62</v>
      </c>
      <c r="I25" s="69">
        <v>46042</v>
      </c>
      <c r="J25" s="64">
        <v>8069</v>
      </c>
      <c r="K25" s="64">
        <v>4612</v>
      </c>
      <c r="L25" s="73" t="s">
        <v>39</v>
      </c>
      <c r="M25" s="67" t="s">
        <v>24</v>
      </c>
      <c r="N25" s="67" t="s">
        <v>40</v>
      </c>
      <c r="O25" s="71">
        <v>46813</v>
      </c>
      <c r="P25" s="64">
        <v>2008</v>
      </c>
      <c r="Q25" s="64">
        <v>2018</v>
      </c>
      <c r="R25" s="64">
        <v>9</v>
      </c>
      <c r="S25" s="37"/>
    </row>
    <row r="26" spans="1:19" s="2" customFormat="1" ht="14.15" customHeight="1" x14ac:dyDescent="0.35">
      <c r="A26" s="37"/>
      <c r="B26" s="133"/>
      <c r="C26" s="64">
        <v>5815</v>
      </c>
      <c r="D26" s="65">
        <v>39482</v>
      </c>
      <c r="E26" s="66" t="s">
        <v>96</v>
      </c>
      <c r="F26" s="67" t="s">
        <v>49</v>
      </c>
      <c r="G26" s="68" t="s">
        <v>29</v>
      </c>
      <c r="H26" s="68">
        <v>3.95</v>
      </c>
      <c r="I26" s="72">
        <v>45754</v>
      </c>
      <c r="J26" s="64">
        <v>5110</v>
      </c>
      <c r="K26" s="64">
        <v>6052</v>
      </c>
      <c r="L26" s="73" t="s">
        <v>30</v>
      </c>
      <c r="M26" s="67" t="s">
        <v>36</v>
      </c>
      <c r="N26" s="67" t="s">
        <v>37</v>
      </c>
      <c r="O26" s="71">
        <v>47027</v>
      </c>
      <c r="P26" s="64">
        <v>2019</v>
      </c>
      <c r="Q26" s="64">
        <v>2019</v>
      </c>
      <c r="R26" s="64">
        <v>9</v>
      </c>
      <c r="S26" s="37"/>
    </row>
    <row r="27" spans="1:19" s="2" customFormat="1" ht="14.15" customHeight="1" x14ac:dyDescent="0.35">
      <c r="A27" s="37"/>
      <c r="B27" s="131" t="s">
        <v>47</v>
      </c>
      <c r="C27" s="64">
        <v>6019</v>
      </c>
      <c r="D27" s="65">
        <v>39813</v>
      </c>
      <c r="E27" s="66" t="s">
        <v>104</v>
      </c>
      <c r="F27" s="67" t="s">
        <v>49</v>
      </c>
      <c r="G27" s="68">
        <v>7.35</v>
      </c>
      <c r="H27" s="68" t="s">
        <v>42</v>
      </c>
      <c r="I27" s="72">
        <v>45786</v>
      </c>
      <c r="J27" s="64">
        <v>4000</v>
      </c>
      <c r="K27" s="64">
        <v>2839</v>
      </c>
      <c r="L27" s="84" t="s">
        <v>39</v>
      </c>
      <c r="M27" s="86" t="s">
        <v>36</v>
      </c>
      <c r="N27" s="86" t="s">
        <v>24</v>
      </c>
      <c r="O27" s="87">
        <v>47150</v>
      </c>
      <c r="P27" s="82">
        <v>2009</v>
      </c>
      <c r="Q27" s="82">
        <v>2009</v>
      </c>
      <c r="R27" s="82">
        <v>9</v>
      </c>
      <c r="S27" s="37"/>
    </row>
    <row r="28" spans="1:19" s="2" customFormat="1" ht="14.15" customHeight="1" x14ac:dyDescent="0.35">
      <c r="A28" s="37"/>
      <c r="B28" s="132"/>
      <c r="C28" s="64">
        <v>6024</v>
      </c>
      <c r="D28" s="65">
        <v>40179</v>
      </c>
      <c r="E28" s="66" t="s">
        <v>112</v>
      </c>
      <c r="F28" s="67" t="s">
        <v>57</v>
      </c>
      <c r="G28" s="68">
        <v>7.79</v>
      </c>
      <c r="H28" s="68">
        <v>7.4</v>
      </c>
      <c r="I28" s="72">
        <v>45841</v>
      </c>
      <c r="J28" s="64">
        <v>3005</v>
      </c>
      <c r="K28" s="64">
        <v>2560</v>
      </c>
      <c r="L28" s="84" t="s">
        <v>39</v>
      </c>
      <c r="M28" s="86" t="s">
        <v>36</v>
      </c>
      <c r="N28" s="86" t="s">
        <v>40</v>
      </c>
      <c r="O28" s="87">
        <v>46113</v>
      </c>
      <c r="P28" s="82">
        <v>2010</v>
      </c>
      <c r="Q28" s="82">
        <v>2010</v>
      </c>
      <c r="R28" s="82">
        <v>7</v>
      </c>
      <c r="S28" s="37"/>
    </row>
    <row r="29" spans="1:19" s="2" customFormat="1" ht="14.15" customHeight="1" x14ac:dyDescent="0.35">
      <c r="A29" s="37"/>
      <c r="B29" s="132"/>
      <c r="C29" s="64">
        <v>6028</v>
      </c>
      <c r="D29" s="65">
        <v>39814</v>
      </c>
      <c r="E29" s="66" t="s">
        <v>169</v>
      </c>
      <c r="F29" s="67" t="s">
        <v>49</v>
      </c>
      <c r="G29" s="68">
        <v>8.39</v>
      </c>
      <c r="H29" s="68">
        <v>8.25</v>
      </c>
      <c r="I29" s="69">
        <v>46010</v>
      </c>
      <c r="J29" s="64">
        <v>3290</v>
      </c>
      <c r="K29" s="64">
        <v>2104</v>
      </c>
      <c r="L29" s="84" t="s">
        <v>39</v>
      </c>
      <c r="M29" s="86" t="s">
        <v>36</v>
      </c>
      <c r="N29" s="86" t="s">
        <v>24</v>
      </c>
      <c r="O29" s="87">
        <v>47331</v>
      </c>
      <c r="P29" s="82">
        <v>2025</v>
      </c>
      <c r="Q29" s="82">
        <v>2025</v>
      </c>
      <c r="R29" s="82">
        <v>8</v>
      </c>
      <c r="S29" s="37"/>
    </row>
    <row r="30" spans="1:19" s="3" customFormat="1" ht="14.15" customHeight="1" x14ac:dyDescent="0.35">
      <c r="B30" s="132"/>
      <c r="C30" s="64">
        <v>6038</v>
      </c>
      <c r="D30" s="65">
        <v>39814</v>
      </c>
      <c r="E30" s="98" t="s">
        <v>123</v>
      </c>
      <c r="F30" s="67" t="s">
        <v>49</v>
      </c>
      <c r="G30" s="68">
        <v>7.35</v>
      </c>
      <c r="H30" s="68">
        <v>7.3</v>
      </c>
      <c r="I30" s="72">
        <v>45825</v>
      </c>
      <c r="J30" s="64">
        <v>5330</v>
      </c>
      <c r="K30" s="64">
        <v>3145</v>
      </c>
      <c r="L30" s="73" t="s">
        <v>39</v>
      </c>
      <c r="M30" s="67" t="s">
        <v>36</v>
      </c>
      <c r="N30" s="67" t="s">
        <v>40</v>
      </c>
      <c r="O30" s="71">
        <v>47209</v>
      </c>
      <c r="P30" s="64">
        <v>2019</v>
      </c>
      <c r="Q30" s="64">
        <v>2009</v>
      </c>
      <c r="R30" s="64">
        <v>8</v>
      </c>
    </row>
    <row r="31" spans="1:19" s="3" customFormat="1" ht="14.15" customHeight="1" x14ac:dyDescent="0.35">
      <c r="B31" s="132"/>
      <c r="C31" s="64">
        <v>6071</v>
      </c>
      <c r="D31" s="65">
        <v>40543</v>
      </c>
      <c r="E31" s="66" t="s">
        <v>178</v>
      </c>
      <c r="F31" s="67" t="s">
        <v>49</v>
      </c>
      <c r="G31" s="68" t="s">
        <v>29</v>
      </c>
      <c r="H31" s="68">
        <v>7.3</v>
      </c>
      <c r="I31" s="69">
        <v>46017</v>
      </c>
      <c r="J31" s="64">
        <v>2780</v>
      </c>
      <c r="K31" s="64">
        <v>1941</v>
      </c>
      <c r="L31" s="73" t="s">
        <v>38</v>
      </c>
      <c r="M31" s="67" t="s">
        <v>24</v>
      </c>
      <c r="N31" s="67" t="s">
        <v>40</v>
      </c>
      <c r="O31" s="71">
        <v>46143</v>
      </c>
      <c r="P31" s="64">
        <v>2014</v>
      </c>
      <c r="Q31" s="64">
        <v>2010</v>
      </c>
      <c r="R31" s="64">
        <v>9</v>
      </c>
    </row>
    <row r="32" spans="1:19" s="3" customFormat="1" ht="14.15" customHeight="1" x14ac:dyDescent="0.35">
      <c r="B32" s="132"/>
      <c r="C32" s="64">
        <v>6077</v>
      </c>
      <c r="D32" s="65">
        <v>40179</v>
      </c>
      <c r="E32" s="66" t="s">
        <v>116</v>
      </c>
      <c r="F32" s="67" t="s">
        <v>49</v>
      </c>
      <c r="G32" s="68">
        <v>8.0500000000000007</v>
      </c>
      <c r="H32" s="68" t="s">
        <v>42</v>
      </c>
      <c r="I32" s="72">
        <v>45780</v>
      </c>
      <c r="J32" s="64">
        <v>3155</v>
      </c>
      <c r="K32" s="64">
        <v>1840</v>
      </c>
      <c r="L32" s="73" t="s">
        <v>38</v>
      </c>
      <c r="M32" s="67" t="s">
        <v>24</v>
      </c>
      <c r="N32" s="67" t="s">
        <v>40</v>
      </c>
      <c r="O32" s="71">
        <v>46357</v>
      </c>
      <c r="P32" s="64">
        <v>2010</v>
      </c>
      <c r="Q32" s="64">
        <v>2010</v>
      </c>
      <c r="R32" s="64">
        <v>8</v>
      </c>
    </row>
    <row r="33" spans="1:19" s="3" customFormat="1" ht="14.15" customHeight="1" x14ac:dyDescent="0.35">
      <c r="B33" s="132"/>
      <c r="C33" s="64">
        <v>6096</v>
      </c>
      <c r="D33" s="65">
        <v>41091</v>
      </c>
      <c r="E33" s="66" t="s">
        <v>100</v>
      </c>
      <c r="F33" s="67" t="s">
        <v>49</v>
      </c>
      <c r="G33" s="68">
        <v>7.39</v>
      </c>
      <c r="H33" s="68">
        <v>7</v>
      </c>
      <c r="I33" s="72">
        <v>45749</v>
      </c>
      <c r="J33" s="64">
        <v>2635</v>
      </c>
      <c r="K33" s="64">
        <v>2965</v>
      </c>
      <c r="L33" s="70" t="s">
        <v>24</v>
      </c>
      <c r="M33" s="67" t="s">
        <v>36</v>
      </c>
      <c r="N33" s="67" t="s">
        <v>24</v>
      </c>
      <c r="O33" s="71">
        <v>46753</v>
      </c>
      <c r="P33" s="64">
        <v>2011</v>
      </c>
      <c r="Q33" s="64">
        <v>2011</v>
      </c>
      <c r="R33" s="64">
        <v>9</v>
      </c>
    </row>
    <row r="34" spans="1:19" s="3" customFormat="1" ht="14.15" customHeight="1" x14ac:dyDescent="0.35">
      <c r="B34" s="132"/>
      <c r="C34" s="64">
        <v>6101</v>
      </c>
      <c r="D34" s="65">
        <v>41092</v>
      </c>
      <c r="E34" s="66" t="s">
        <v>98</v>
      </c>
      <c r="F34" s="67" t="s">
        <v>49</v>
      </c>
      <c r="G34" s="68" t="s">
        <v>29</v>
      </c>
      <c r="H34" s="68">
        <v>7.75</v>
      </c>
      <c r="I34" s="72">
        <v>45777</v>
      </c>
      <c r="J34" s="64">
        <v>5685</v>
      </c>
      <c r="K34" s="64">
        <v>4629</v>
      </c>
      <c r="L34" s="70" t="s">
        <v>24</v>
      </c>
      <c r="M34" s="67" t="s">
        <v>24</v>
      </c>
      <c r="N34" s="67" t="s">
        <v>24</v>
      </c>
      <c r="O34" s="71">
        <v>46844</v>
      </c>
      <c r="P34" s="64">
        <v>2012</v>
      </c>
      <c r="Q34" s="64">
        <v>2012</v>
      </c>
      <c r="R34" s="64" t="s">
        <v>26</v>
      </c>
    </row>
    <row r="35" spans="1:19" s="3" customFormat="1" ht="14.15" customHeight="1" x14ac:dyDescent="0.35">
      <c r="B35" s="132"/>
      <c r="C35" s="64">
        <v>6107</v>
      </c>
      <c r="D35" s="65">
        <v>40909</v>
      </c>
      <c r="E35" s="66" t="s">
        <v>138</v>
      </c>
      <c r="F35" s="67" t="s">
        <v>49</v>
      </c>
      <c r="G35" s="68">
        <v>8.5</v>
      </c>
      <c r="H35" s="68">
        <v>8.5</v>
      </c>
      <c r="I35" s="72">
        <v>45910</v>
      </c>
      <c r="J35" s="64">
        <v>2665</v>
      </c>
      <c r="K35" s="64">
        <v>2613</v>
      </c>
      <c r="L35" s="73" t="s">
        <v>39</v>
      </c>
      <c r="M35" s="67" t="s">
        <v>36</v>
      </c>
      <c r="N35" s="67" t="s">
        <v>40</v>
      </c>
      <c r="O35" s="71">
        <v>46935</v>
      </c>
      <c r="P35" s="64">
        <v>2012</v>
      </c>
      <c r="Q35" s="64">
        <v>2012</v>
      </c>
      <c r="R35" s="64">
        <v>8</v>
      </c>
    </row>
    <row r="36" spans="1:19" s="3" customFormat="1" ht="14.15" customHeight="1" x14ac:dyDescent="0.35">
      <c r="B36" s="132"/>
      <c r="C36" s="64">
        <v>6114</v>
      </c>
      <c r="D36" s="65">
        <v>40909</v>
      </c>
      <c r="E36" s="66" t="s">
        <v>170</v>
      </c>
      <c r="F36" s="67" t="s">
        <v>49</v>
      </c>
      <c r="G36" s="68">
        <v>8.25</v>
      </c>
      <c r="H36" s="68" t="s">
        <v>42</v>
      </c>
      <c r="I36" s="69">
        <v>46030</v>
      </c>
      <c r="J36" s="64">
        <v>2950</v>
      </c>
      <c r="K36" s="64">
        <v>2548</v>
      </c>
      <c r="L36" s="73" t="s">
        <v>23</v>
      </c>
      <c r="M36" s="67" t="s">
        <v>24</v>
      </c>
      <c r="N36" s="67" t="s">
        <v>31</v>
      </c>
      <c r="O36" s="71">
        <v>46935</v>
      </c>
      <c r="P36" s="64">
        <v>2012</v>
      </c>
      <c r="Q36" s="64">
        <v>2012</v>
      </c>
      <c r="R36" s="64">
        <v>8</v>
      </c>
    </row>
    <row r="37" spans="1:19" s="3" customFormat="1" ht="14.15" customHeight="1" x14ac:dyDescent="0.35">
      <c r="B37" s="132"/>
      <c r="C37" s="64">
        <v>6131</v>
      </c>
      <c r="D37" s="65">
        <v>41275</v>
      </c>
      <c r="E37" s="66" t="s">
        <v>171</v>
      </c>
      <c r="F37" s="67" t="s">
        <v>172</v>
      </c>
      <c r="G37" s="68">
        <v>8.25</v>
      </c>
      <c r="H37" s="68">
        <v>7.6</v>
      </c>
      <c r="I37" s="69">
        <v>46020</v>
      </c>
      <c r="J37" s="64">
        <v>3770</v>
      </c>
      <c r="K37" s="64">
        <v>2871</v>
      </c>
      <c r="L37" s="73" t="s">
        <v>38</v>
      </c>
      <c r="M37" s="67" t="s">
        <v>36</v>
      </c>
      <c r="N37" s="67" t="s">
        <v>40</v>
      </c>
      <c r="O37" s="71">
        <v>47178</v>
      </c>
      <c r="P37" s="64">
        <v>2013</v>
      </c>
      <c r="Q37" s="64">
        <v>2013</v>
      </c>
      <c r="R37" s="64">
        <v>8</v>
      </c>
    </row>
    <row r="38" spans="1:19" s="3" customFormat="1" ht="14.15" customHeight="1" x14ac:dyDescent="0.35">
      <c r="B38" s="132"/>
      <c r="C38" s="64">
        <v>6150</v>
      </c>
      <c r="D38" s="65">
        <v>41275</v>
      </c>
      <c r="E38" s="66" t="s">
        <v>173</v>
      </c>
      <c r="F38" s="67" t="s">
        <v>49</v>
      </c>
      <c r="G38" s="68">
        <v>8.7899999999999991</v>
      </c>
      <c r="H38" s="68">
        <v>8.5</v>
      </c>
      <c r="I38" s="69">
        <v>46001</v>
      </c>
      <c r="J38" s="64">
        <v>4325</v>
      </c>
      <c r="K38" s="64">
        <v>3849</v>
      </c>
      <c r="L38" s="73" t="s">
        <v>39</v>
      </c>
      <c r="M38" s="67" t="s">
        <v>36</v>
      </c>
      <c r="N38" s="67" t="s">
        <v>40</v>
      </c>
      <c r="O38" s="71">
        <v>47453</v>
      </c>
      <c r="P38" s="64">
        <v>2025</v>
      </c>
      <c r="Q38" s="64">
        <v>2024</v>
      </c>
      <c r="R38" s="64">
        <v>8</v>
      </c>
    </row>
    <row r="39" spans="1:19" s="3" customFormat="1" ht="12.75" customHeight="1" x14ac:dyDescent="0.35">
      <c r="B39" s="132"/>
      <c r="C39" s="64">
        <v>6192</v>
      </c>
      <c r="D39" s="65">
        <v>42370</v>
      </c>
      <c r="E39" s="66" t="s">
        <v>105</v>
      </c>
      <c r="F39" s="67" t="s">
        <v>49</v>
      </c>
      <c r="G39" s="68" t="s">
        <v>29</v>
      </c>
      <c r="H39" s="68" t="s">
        <v>42</v>
      </c>
      <c r="I39" s="72">
        <v>45749</v>
      </c>
      <c r="J39" s="64">
        <v>3870</v>
      </c>
      <c r="K39" s="64">
        <v>3177</v>
      </c>
      <c r="L39" s="73" t="s">
        <v>39</v>
      </c>
      <c r="M39" s="67" t="s">
        <v>36</v>
      </c>
      <c r="N39" s="67" t="s">
        <v>40</v>
      </c>
      <c r="O39" s="71">
        <v>46631</v>
      </c>
      <c r="P39" s="64">
        <v>2015</v>
      </c>
      <c r="Q39" s="64">
        <v>2015</v>
      </c>
      <c r="R39" s="64">
        <v>9</v>
      </c>
    </row>
    <row r="40" spans="1:19" s="3" customFormat="1" ht="12.75" customHeight="1" x14ac:dyDescent="0.35">
      <c r="B40" s="132"/>
      <c r="C40" s="64">
        <v>6194</v>
      </c>
      <c r="D40" s="65">
        <v>42192</v>
      </c>
      <c r="E40" s="66" t="s">
        <v>130</v>
      </c>
      <c r="F40" s="67" t="s">
        <v>49</v>
      </c>
      <c r="G40" s="68">
        <v>9.4</v>
      </c>
      <c r="H40" s="68">
        <v>9.39</v>
      </c>
      <c r="I40" s="69">
        <v>46055</v>
      </c>
      <c r="J40" s="64">
        <v>2980</v>
      </c>
      <c r="K40" s="64">
        <v>2920</v>
      </c>
      <c r="L40" s="73" t="s">
        <v>39</v>
      </c>
      <c r="M40" s="67" t="s">
        <v>36</v>
      </c>
      <c r="N40" s="67" t="s">
        <v>40</v>
      </c>
      <c r="O40" s="71">
        <v>46631</v>
      </c>
      <c r="P40" s="64">
        <v>2020</v>
      </c>
      <c r="Q40" s="64">
        <v>2015</v>
      </c>
      <c r="R40" s="64">
        <v>8</v>
      </c>
    </row>
    <row r="41" spans="1:19" ht="14.15" customHeight="1" x14ac:dyDescent="0.35">
      <c r="A41" s="36"/>
      <c r="B41" s="132"/>
      <c r="C41" s="64">
        <v>6203</v>
      </c>
      <c r="D41" s="65">
        <v>42370</v>
      </c>
      <c r="E41" s="66" t="s">
        <v>121</v>
      </c>
      <c r="F41" s="67" t="s">
        <v>49</v>
      </c>
      <c r="G41" s="68">
        <v>10.25</v>
      </c>
      <c r="H41" s="68">
        <v>9.5</v>
      </c>
      <c r="I41" s="69">
        <v>45965</v>
      </c>
      <c r="J41" s="64">
        <v>2555</v>
      </c>
      <c r="K41" s="64">
        <v>1913</v>
      </c>
      <c r="L41" s="73" t="s">
        <v>39</v>
      </c>
      <c r="M41" s="67" t="s">
        <v>24</v>
      </c>
      <c r="N41" s="67" t="s">
        <v>40</v>
      </c>
      <c r="O41" s="71">
        <v>46753</v>
      </c>
      <c r="P41" s="64">
        <v>2016</v>
      </c>
      <c r="Q41" s="64">
        <v>2016</v>
      </c>
      <c r="R41" s="64">
        <v>8</v>
      </c>
      <c r="S41" s="36"/>
    </row>
    <row r="42" spans="1:19" ht="14.15" customHeight="1" x14ac:dyDescent="0.35">
      <c r="A42" s="36"/>
      <c r="B42" s="132"/>
      <c r="C42" s="64">
        <v>6204</v>
      </c>
      <c r="D42" s="65">
        <v>42735</v>
      </c>
      <c r="E42" s="66" t="s">
        <v>111</v>
      </c>
      <c r="F42" s="67" t="s">
        <v>49</v>
      </c>
      <c r="G42" s="68" t="s">
        <v>29</v>
      </c>
      <c r="H42" s="68">
        <v>9.9</v>
      </c>
      <c r="I42" s="72">
        <v>45749</v>
      </c>
      <c r="J42" s="64">
        <v>1155</v>
      </c>
      <c r="K42" s="64">
        <v>883</v>
      </c>
      <c r="L42" s="73" t="s">
        <v>39</v>
      </c>
      <c r="M42" s="67" t="s">
        <v>36</v>
      </c>
      <c r="N42" s="67" t="s">
        <v>40</v>
      </c>
      <c r="O42" s="71">
        <v>46813</v>
      </c>
      <c r="P42" s="64">
        <v>2016</v>
      </c>
      <c r="Q42" s="64">
        <v>2016</v>
      </c>
      <c r="R42" s="64">
        <v>8</v>
      </c>
      <c r="S42" s="36"/>
    </row>
    <row r="43" spans="1:19" ht="14.15" customHeight="1" x14ac:dyDescent="0.35">
      <c r="A43" s="36"/>
      <c r="B43" s="132"/>
      <c r="C43" s="64">
        <v>6211</v>
      </c>
      <c r="D43" s="65">
        <v>42370</v>
      </c>
      <c r="E43" s="66" t="s">
        <v>176</v>
      </c>
      <c r="F43" s="67" t="s">
        <v>49</v>
      </c>
      <c r="G43" s="68" t="s">
        <v>29</v>
      </c>
      <c r="H43" s="68">
        <v>9.75</v>
      </c>
      <c r="I43" s="69">
        <v>46010</v>
      </c>
      <c r="J43" s="64">
        <v>1800</v>
      </c>
      <c r="K43" s="64">
        <v>1661</v>
      </c>
      <c r="L43" s="73" t="s">
        <v>39</v>
      </c>
      <c r="M43" s="67" t="s">
        <v>36</v>
      </c>
      <c r="N43" s="67" t="s">
        <v>24</v>
      </c>
      <c r="O43" s="71">
        <v>46966</v>
      </c>
      <c r="P43" s="64">
        <v>2016</v>
      </c>
      <c r="Q43" s="64">
        <v>2016</v>
      </c>
      <c r="R43" s="64">
        <v>8</v>
      </c>
      <c r="S43" s="36"/>
    </row>
    <row r="44" spans="1:19" ht="14.15" customHeight="1" x14ac:dyDescent="0.35">
      <c r="A44" s="36"/>
      <c r="B44" s="132"/>
      <c r="C44" s="64">
        <v>6218</v>
      </c>
      <c r="D44" s="65">
        <v>42370</v>
      </c>
      <c r="E44" s="98" t="s">
        <v>101</v>
      </c>
      <c r="F44" s="67" t="s">
        <v>49</v>
      </c>
      <c r="G44" s="68">
        <v>10.99</v>
      </c>
      <c r="H44" s="68">
        <v>10.4</v>
      </c>
      <c r="I44" s="69">
        <v>45997</v>
      </c>
      <c r="J44" s="64">
        <v>1465</v>
      </c>
      <c r="K44" s="64">
        <v>1370</v>
      </c>
      <c r="L44" s="73" t="s">
        <v>39</v>
      </c>
      <c r="M44" s="67" t="s">
        <v>24</v>
      </c>
      <c r="N44" s="67" t="s">
        <v>40</v>
      </c>
      <c r="O44" s="71">
        <v>46997</v>
      </c>
      <c r="P44" s="64">
        <v>2016</v>
      </c>
      <c r="Q44" s="64">
        <v>2016</v>
      </c>
      <c r="R44" s="64">
        <v>8</v>
      </c>
      <c r="S44" s="36"/>
    </row>
    <row r="45" spans="1:19" ht="14.15" customHeight="1" x14ac:dyDescent="0.35">
      <c r="A45" s="36"/>
      <c r="B45" s="132"/>
      <c r="C45" s="64">
        <v>6219</v>
      </c>
      <c r="D45" s="65">
        <v>42371</v>
      </c>
      <c r="E45" s="98" t="s">
        <v>144</v>
      </c>
      <c r="F45" s="67" t="s">
        <v>49</v>
      </c>
      <c r="G45" s="68" t="s">
        <v>29</v>
      </c>
      <c r="H45" s="68" t="s">
        <v>42</v>
      </c>
      <c r="I45" s="69">
        <v>46045</v>
      </c>
      <c r="J45" s="64">
        <v>2570</v>
      </c>
      <c r="K45" s="64">
        <v>1999</v>
      </c>
      <c r="L45" s="70" t="s">
        <v>24</v>
      </c>
      <c r="M45" s="67" t="s">
        <v>24</v>
      </c>
      <c r="N45" s="67" t="s">
        <v>24</v>
      </c>
      <c r="O45" s="71">
        <v>46997</v>
      </c>
      <c r="P45" s="64">
        <v>2025</v>
      </c>
      <c r="Q45" s="64">
        <v>2016</v>
      </c>
      <c r="R45" s="64">
        <v>6</v>
      </c>
      <c r="S45" s="36"/>
    </row>
    <row r="46" spans="1:19" ht="14.15" customHeight="1" x14ac:dyDescent="0.35">
      <c r="A46" s="36"/>
      <c r="B46" s="132"/>
      <c r="C46" s="64">
        <v>6224</v>
      </c>
      <c r="D46" s="65">
        <v>42736</v>
      </c>
      <c r="E46" s="98" t="s">
        <v>128</v>
      </c>
      <c r="F46" s="67" t="s">
        <v>52</v>
      </c>
      <c r="G46" s="68" t="s">
        <v>29</v>
      </c>
      <c r="H46" s="68" t="s">
        <v>42</v>
      </c>
      <c r="I46" s="72">
        <v>45873</v>
      </c>
      <c r="J46" s="64">
        <v>2500</v>
      </c>
      <c r="K46" s="64">
        <v>2372</v>
      </c>
      <c r="L46" s="70" t="s">
        <v>24</v>
      </c>
      <c r="M46" s="73" t="s">
        <v>24</v>
      </c>
      <c r="N46" s="73" t="s">
        <v>24</v>
      </c>
      <c r="O46" s="71">
        <v>47331</v>
      </c>
      <c r="P46" s="64">
        <v>2017</v>
      </c>
      <c r="Q46" s="64">
        <v>2017</v>
      </c>
      <c r="R46" s="64">
        <v>7</v>
      </c>
      <c r="S46" s="36"/>
    </row>
    <row r="47" spans="1:19" ht="14.15" customHeight="1" x14ac:dyDescent="0.35">
      <c r="A47" s="36"/>
      <c r="B47" s="132"/>
      <c r="C47" s="64">
        <v>6233</v>
      </c>
      <c r="D47" s="65">
        <v>42736</v>
      </c>
      <c r="E47" s="66" t="s">
        <v>128</v>
      </c>
      <c r="F47" s="67" t="s">
        <v>59</v>
      </c>
      <c r="G47" s="68" t="s">
        <v>29</v>
      </c>
      <c r="H47" s="68" t="s">
        <v>42</v>
      </c>
      <c r="I47" s="69">
        <v>45950</v>
      </c>
      <c r="J47" s="64">
        <v>2610</v>
      </c>
      <c r="K47" s="64">
        <v>2510</v>
      </c>
      <c r="L47" s="70" t="s">
        <v>24</v>
      </c>
      <c r="M47" s="67" t="s">
        <v>24</v>
      </c>
      <c r="N47" s="67" t="s">
        <v>24</v>
      </c>
      <c r="O47" s="71">
        <v>47392</v>
      </c>
      <c r="P47" s="64">
        <v>2017</v>
      </c>
      <c r="Q47" s="64">
        <v>2017</v>
      </c>
      <c r="R47" s="64">
        <v>7</v>
      </c>
      <c r="S47" s="36"/>
    </row>
    <row r="48" spans="1:19" ht="14.15" customHeight="1" x14ac:dyDescent="0.35">
      <c r="A48" s="36"/>
      <c r="B48" s="132"/>
      <c r="C48" s="64">
        <v>6243</v>
      </c>
      <c r="D48" s="65">
        <v>43102</v>
      </c>
      <c r="E48" s="66" t="s">
        <v>109</v>
      </c>
      <c r="F48" s="67" t="s">
        <v>52</v>
      </c>
      <c r="G48" s="68" t="s">
        <v>29</v>
      </c>
      <c r="H48" s="68">
        <v>9.9</v>
      </c>
      <c r="I48" s="72">
        <v>45734</v>
      </c>
      <c r="J48" s="64">
        <v>2130</v>
      </c>
      <c r="K48" s="64">
        <v>2062</v>
      </c>
      <c r="L48" s="70" t="s">
        <v>24</v>
      </c>
      <c r="M48" s="67" t="s">
        <v>24</v>
      </c>
      <c r="N48" s="67" t="s">
        <v>24</v>
      </c>
      <c r="O48" s="71">
        <v>46023</v>
      </c>
      <c r="P48" s="64">
        <v>2018</v>
      </c>
      <c r="Q48" s="64">
        <v>2018</v>
      </c>
      <c r="R48" s="64">
        <v>7</v>
      </c>
      <c r="S48" s="36"/>
    </row>
    <row r="49" spans="1:19" ht="14.15" customHeight="1" x14ac:dyDescent="0.35">
      <c r="A49" s="36"/>
      <c r="B49" s="132"/>
      <c r="C49" s="64">
        <v>6244</v>
      </c>
      <c r="D49" s="65">
        <v>43101</v>
      </c>
      <c r="E49" s="66" t="s">
        <v>128</v>
      </c>
      <c r="F49" s="67" t="s">
        <v>52</v>
      </c>
      <c r="G49" s="68" t="s">
        <v>29</v>
      </c>
      <c r="H49" s="68" t="s">
        <v>42</v>
      </c>
      <c r="I49" s="72">
        <v>45912</v>
      </c>
      <c r="J49" s="64">
        <v>2600</v>
      </c>
      <c r="K49" s="64">
        <v>2528</v>
      </c>
      <c r="L49" s="70" t="s">
        <v>24</v>
      </c>
      <c r="M49" s="67" t="s">
        <v>24</v>
      </c>
      <c r="N49" s="67" t="s">
        <v>24</v>
      </c>
      <c r="O49" s="71">
        <v>46023</v>
      </c>
      <c r="P49" s="64">
        <v>2018</v>
      </c>
      <c r="Q49" s="64">
        <v>2018</v>
      </c>
      <c r="R49" s="64">
        <v>7</v>
      </c>
      <c r="S49" s="36"/>
    </row>
    <row r="50" spans="1:19" ht="14.15" customHeight="1" x14ac:dyDescent="0.35">
      <c r="A50" s="36"/>
      <c r="B50" s="132"/>
      <c r="C50" s="64">
        <v>6270</v>
      </c>
      <c r="D50" s="65">
        <v>43466</v>
      </c>
      <c r="E50" s="98" t="s">
        <v>106</v>
      </c>
      <c r="F50" s="67" t="s">
        <v>59</v>
      </c>
      <c r="G50" s="68">
        <v>12.75</v>
      </c>
      <c r="H50" s="68">
        <v>11.85</v>
      </c>
      <c r="I50" s="72">
        <v>45838</v>
      </c>
      <c r="J50" s="64">
        <v>1735</v>
      </c>
      <c r="K50" s="64">
        <v>1209</v>
      </c>
      <c r="L50" s="73" t="s">
        <v>131</v>
      </c>
      <c r="M50" s="67" t="s">
        <v>36</v>
      </c>
      <c r="N50" s="67" t="s">
        <v>40</v>
      </c>
      <c r="O50" s="71">
        <v>46661</v>
      </c>
      <c r="P50" s="64">
        <v>2019</v>
      </c>
      <c r="Q50" s="64">
        <v>2019</v>
      </c>
      <c r="R50" s="64">
        <v>8</v>
      </c>
      <c r="S50" s="36"/>
    </row>
    <row r="51" spans="1:19" ht="14.15" customHeight="1" x14ac:dyDescent="0.35">
      <c r="A51" s="36"/>
      <c r="B51" s="132"/>
      <c r="C51" s="64">
        <v>6273</v>
      </c>
      <c r="D51" s="65">
        <v>43466</v>
      </c>
      <c r="E51" s="98" t="s">
        <v>174</v>
      </c>
      <c r="F51" s="67" t="s">
        <v>52</v>
      </c>
      <c r="G51" s="68">
        <v>11.25</v>
      </c>
      <c r="H51" s="68">
        <v>11</v>
      </c>
      <c r="I51" s="69">
        <v>46002</v>
      </c>
      <c r="J51" s="64">
        <v>1180</v>
      </c>
      <c r="K51" s="64">
        <v>1288</v>
      </c>
      <c r="L51" s="73" t="s">
        <v>24</v>
      </c>
      <c r="M51" s="67" t="s">
        <v>24</v>
      </c>
      <c r="N51" s="67" t="s">
        <v>24</v>
      </c>
      <c r="O51" s="71">
        <v>46661</v>
      </c>
      <c r="P51" s="64">
        <v>2019</v>
      </c>
      <c r="Q51" s="64">
        <v>2019</v>
      </c>
      <c r="R51" s="64">
        <v>8</v>
      </c>
      <c r="S51" s="36"/>
    </row>
    <row r="52" spans="1:19" ht="14.15" customHeight="1" x14ac:dyDescent="0.35">
      <c r="A52" s="36"/>
      <c r="B52" s="132"/>
      <c r="C52" s="64">
        <v>6290</v>
      </c>
      <c r="D52" s="65">
        <v>43831</v>
      </c>
      <c r="E52" s="98" t="s">
        <v>175</v>
      </c>
      <c r="F52" s="67" t="s">
        <v>49</v>
      </c>
      <c r="G52" s="68">
        <v>11.59</v>
      </c>
      <c r="H52" s="68" t="s">
        <v>42</v>
      </c>
      <c r="I52" s="69">
        <v>46015</v>
      </c>
      <c r="J52" s="64">
        <v>1855</v>
      </c>
      <c r="K52" s="64">
        <v>1516</v>
      </c>
      <c r="L52" s="73" t="s">
        <v>39</v>
      </c>
      <c r="M52" s="67" t="s">
        <v>24</v>
      </c>
      <c r="N52" s="67" t="s">
        <v>40</v>
      </c>
      <c r="O52" s="71">
        <v>47058</v>
      </c>
      <c r="P52" s="64">
        <v>2020</v>
      </c>
      <c r="Q52" s="64">
        <v>2020</v>
      </c>
      <c r="R52" s="64">
        <v>7</v>
      </c>
      <c r="S52" s="36"/>
    </row>
    <row r="53" spans="1:19" ht="14.15" customHeight="1" x14ac:dyDescent="0.35">
      <c r="A53" s="36"/>
      <c r="B53" s="132"/>
      <c r="C53" s="64">
        <v>6291</v>
      </c>
      <c r="D53" s="65">
        <v>43831</v>
      </c>
      <c r="E53" s="66" t="s">
        <v>107</v>
      </c>
      <c r="F53" s="67" t="s">
        <v>59</v>
      </c>
      <c r="G53" s="68">
        <v>12.75</v>
      </c>
      <c r="H53" s="68">
        <v>11.5</v>
      </c>
      <c r="I53" s="72">
        <v>45891</v>
      </c>
      <c r="J53" s="64">
        <v>705</v>
      </c>
      <c r="K53" s="64">
        <v>531</v>
      </c>
      <c r="L53" s="70" t="s">
        <v>24</v>
      </c>
      <c r="M53" s="67" t="s">
        <v>24</v>
      </c>
      <c r="N53" s="67" t="s">
        <v>24</v>
      </c>
      <c r="O53" s="71">
        <v>47058</v>
      </c>
      <c r="P53" s="64">
        <v>2020</v>
      </c>
      <c r="Q53" s="64">
        <v>2020</v>
      </c>
      <c r="R53" s="64">
        <v>8</v>
      </c>
      <c r="S53" s="36"/>
    </row>
    <row r="54" spans="1:19" ht="13.5" customHeight="1" x14ac:dyDescent="0.35">
      <c r="A54" s="36"/>
      <c r="B54" s="132"/>
      <c r="C54" s="64">
        <v>6300</v>
      </c>
      <c r="D54" s="65">
        <v>44197</v>
      </c>
      <c r="E54" s="66" t="s">
        <v>139</v>
      </c>
      <c r="F54" s="67" t="s">
        <v>140</v>
      </c>
      <c r="G54" s="68">
        <v>12</v>
      </c>
      <c r="H54" s="68">
        <v>11.25</v>
      </c>
      <c r="I54" s="72">
        <v>45896</v>
      </c>
      <c r="J54" s="64">
        <v>1540</v>
      </c>
      <c r="K54" s="64">
        <v>1424</v>
      </c>
      <c r="L54" s="73" t="s">
        <v>39</v>
      </c>
      <c r="M54" s="67" t="s">
        <v>36</v>
      </c>
      <c r="N54" s="67" t="s">
        <v>40</v>
      </c>
      <c r="O54" s="71">
        <v>47362</v>
      </c>
      <c r="P54" s="64">
        <v>2021</v>
      </c>
      <c r="Q54" s="64">
        <v>2021</v>
      </c>
      <c r="R54" s="64">
        <v>8</v>
      </c>
      <c r="S54" s="36"/>
    </row>
    <row r="55" spans="1:19" ht="15.75" customHeight="1" x14ac:dyDescent="0.35">
      <c r="A55" s="36"/>
      <c r="B55" s="134" t="s">
        <v>53</v>
      </c>
      <c r="C55" s="64">
        <v>6334</v>
      </c>
      <c r="D55" s="65">
        <v>44927</v>
      </c>
      <c r="E55" s="66" t="s">
        <v>129</v>
      </c>
      <c r="F55" s="67" t="s">
        <v>49</v>
      </c>
      <c r="G55" s="68">
        <v>14.95</v>
      </c>
      <c r="H55" s="68" t="s">
        <v>42</v>
      </c>
      <c r="I55" s="72">
        <v>45776</v>
      </c>
      <c r="J55" s="64">
        <v>745</v>
      </c>
      <c r="K55" s="64">
        <v>474</v>
      </c>
      <c r="L55" s="73" t="s">
        <v>39</v>
      </c>
      <c r="M55" s="67" t="s">
        <v>36</v>
      </c>
      <c r="N55" s="67" t="s">
        <v>40</v>
      </c>
      <c r="O55" s="71">
        <v>46447</v>
      </c>
      <c r="P55" s="64">
        <v>2023</v>
      </c>
      <c r="Q55" s="64">
        <v>2023</v>
      </c>
      <c r="R55" s="64">
        <v>8</v>
      </c>
      <c r="S55" s="36"/>
    </row>
    <row r="56" spans="1:19" ht="15.75" customHeight="1" x14ac:dyDescent="0.35">
      <c r="A56" s="36"/>
      <c r="B56" s="135"/>
      <c r="C56" s="64">
        <v>6380</v>
      </c>
      <c r="D56" s="65">
        <v>45658</v>
      </c>
      <c r="E56" s="66" t="s">
        <v>147</v>
      </c>
      <c r="F56" s="67" t="s">
        <v>49</v>
      </c>
      <c r="G56" s="68" t="s">
        <v>29</v>
      </c>
      <c r="H56" s="68" t="s">
        <v>42</v>
      </c>
      <c r="I56" s="69">
        <v>45960</v>
      </c>
      <c r="J56" s="64">
        <v>40</v>
      </c>
      <c r="K56" s="64">
        <v>24</v>
      </c>
      <c r="L56" s="73" t="s">
        <v>39</v>
      </c>
      <c r="M56" s="67" t="s">
        <v>36</v>
      </c>
      <c r="N56" s="67" t="s">
        <v>40</v>
      </c>
      <c r="O56" s="71">
        <v>47362</v>
      </c>
      <c r="P56" s="64">
        <v>2025</v>
      </c>
      <c r="Q56" s="64">
        <v>2025</v>
      </c>
      <c r="R56" s="64">
        <v>9</v>
      </c>
      <c r="S56" s="36"/>
    </row>
    <row r="57" spans="1:19" ht="14.15" customHeight="1" x14ac:dyDescent="0.35">
      <c r="A57" s="36"/>
      <c r="B57" s="49" t="s">
        <v>85</v>
      </c>
      <c r="C57" s="74" t="s">
        <v>55</v>
      </c>
      <c r="D57" s="75">
        <f>AVERAGE(D4:D56)</f>
        <v>40723.433962264149</v>
      </c>
      <c r="E57" s="76" t="s">
        <v>85</v>
      </c>
      <c r="F57" s="76" t="s">
        <v>85</v>
      </c>
      <c r="G57" s="77">
        <f>AVERAGE(G4:G56)</f>
        <v>7.9523529411764704</v>
      </c>
      <c r="H57" s="77">
        <f>AVERAGE(H4:H56)</f>
        <v>7.4669444444444446</v>
      </c>
      <c r="I57" s="74" t="s">
        <v>85</v>
      </c>
      <c r="J57" s="90">
        <f>AVERAGE(J4:J56)</f>
        <v>3890.3584905660377</v>
      </c>
      <c r="K57" s="90">
        <f>AVERAGE(K4:K56)</f>
        <v>3199.8113207547171</v>
      </c>
      <c r="L57" s="74" t="s">
        <v>85</v>
      </c>
      <c r="M57" s="74" t="s">
        <v>85</v>
      </c>
      <c r="N57" s="74" t="s">
        <v>85</v>
      </c>
      <c r="O57" s="74" t="s">
        <v>85</v>
      </c>
      <c r="P57" s="90">
        <f>AVERAGE(P4:P56)</f>
        <v>2016.0754716981132</v>
      </c>
      <c r="Q57" s="90">
        <f>AVERAGE(Q4:Q56)</f>
        <v>2014.9433962264152</v>
      </c>
      <c r="R57" s="78" t="s">
        <v>85</v>
      </c>
      <c r="S57" s="36"/>
    </row>
    <row r="58" spans="1:19" ht="14.5" x14ac:dyDescent="0.35">
      <c r="A58" s="36"/>
      <c r="B58" s="36"/>
      <c r="C58" s="36"/>
      <c r="D58" s="36"/>
      <c r="E58" s="36"/>
      <c r="F58" s="47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1:19" ht="14.5" x14ac:dyDescent="0.35">
      <c r="A59" s="36"/>
      <c r="B59" s="36"/>
      <c r="C59" s="48"/>
      <c r="D59" s="36"/>
      <c r="E59" s="36"/>
      <c r="F59" s="47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  <row r="60" spans="1:19" ht="14.5" x14ac:dyDescent="0.35">
      <c r="A60" s="36"/>
      <c r="B60" s="36"/>
      <c r="C60" s="36"/>
      <c r="D60" s="36"/>
      <c r="E60" s="36"/>
      <c r="F60" s="47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19" ht="14.5" x14ac:dyDescent="0.35">
      <c r="A61" s="36"/>
      <c r="B61" s="36"/>
      <c r="C61" s="36"/>
      <c r="D61" s="36"/>
      <c r="E61" s="36"/>
      <c r="F61" s="47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  <row r="62" spans="1:19" ht="14.5" x14ac:dyDescent="0.35">
      <c r="A62" s="36"/>
      <c r="B62" s="36"/>
      <c r="C62" s="48"/>
      <c r="D62" s="36"/>
      <c r="E62" s="36"/>
      <c r="F62" s="47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</row>
    <row r="63" spans="1:19" ht="14.5" x14ac:dyDescent="0.35">
      <c r="A63" s="36"/>
      <c r="B63" s="36"/>
      <c r="C63" s="36"/>
      <c r="D63" s="36"/>
      <c r="E63" s="36"/>
      <c r="F63" s="47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</row>
    <row r="64" spans="1:19" ht="14.5" x14ac:dyDescent="0.35">
      <c r="A64" s="36"/>
      <c r="B64" s="36"/>
      <c r="C64" s="36"/>
      <c r="D64" s="36"/>
      <c r="E64" s="36"/>
      <c r="F64" s="47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  <row r="65" spans="1:19" ht="14.5" x14ac:dyDescent="0.35">
      <c r="A65" s="36"/>
      <c r="B65" s="36"/>
      <c r="C65" s="48"/>
      <c r="D65" s="36"/>
      <c r="E65" s="36"/>
      <c r="F65" s="47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</row>
    <row r="66" spans="1:19" ht="14.5" x14ac:dyDescent="0.35">
      <c r="A66" s="36"/>
      <c r="B66" s="36"/>
      <c r="C66" s="48"/>
      <c r="D66" s="36"/>
      <c r="E66" s="36"/>
      <c r="F66" s="47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</row>
    <row r="67" spans="1:19" ht="14.5" x14ac:dyDescent="0.35">
      <c r="A67" s="36"/>
      <c r="B67" s="36"/>
      <c r="C67" s="48"/>
      <c r="D67" s="36"/>
      <c r="E67" s="36"/>
      <c r="F67" s="47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</row>
    <row r="68" spans="1:19" ht="14.5" x14ac:dyDescent="0.35">
      <c r="A68" s="36"/>
      <c r="B68" s="36"/>
      <c r="C68" s="36"/>
      <c r="D68" s="36"/>
      <c r="E68" s="36"/>
      <c r="F68" s="47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</row>
    <row r="69" spans="1:19" ht="14.5" x14ac:dyDescent="0.35">
      <c r="A69" s="36"/>
      <c r="B69" s="36"/>
      <c r="C69" s="36"/>
      <c r="D69" s="36"/>
      <c r="E69" s="36"/>
      <c r="F69" s="47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19" ht="14.5" x14ac:dyDescent="0.35">
      <c r="A70" s="36"/>
      <c r="B70" s="36"/>
      <c r="C70" s="48"/>
      <c r="D70" s="36"/>
      <c r="E70" s="36"/>
      <c r="F70" s="47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1:19" ht="14.5" x14ac:dyDescent="0.35">
      <c r="A71" s="36"/>
      <c r="B71" s="36"/>
      <c r="C71" s="36"/>
      <c r="D71" s="36"/>
      <c r="E71" s="36"/>
      <c r="F71" s="47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</row>
    <row r="72" spans="1:19" ht="14.5" x14ac:dyDescent="0.35">
      <c r="A72" s="36"/>
      <c r="B72" s="36"/>
      <c r="C72" s="48"/>
      <c r="D72" s="36"/>
      <c r="E72" s="36"/>
      <c r="F72" s="47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19" ht="14.5" x14ac:dyDescent="0.35">
      <c r="A73" s="36"/>
      <c r="B73" s="36"/>
      <c r="C73" s="48"/>
      <c r="D73" s="36"/>
      <c r="E73" s="36"/>
      <c r="F73" s="47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</row>
    <row r="74" spans="1:19" ht="14.5" x14ac:dyDescent="0.35">
      <c r="A74" s="36"/>
      <c r="B74" s="36"/>
      <c r="C74" s="36"/>
      <c r="D74" s="36"/>
      <c r="E74" s="36"/>
      <c r="F74" s="47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</row>
    <row r="75" spans="1:19" ht="14.5" x14ac:dyDescent="0.35">
      <c r="A75" s="36"/>
      <c r="B75" s="36"/>
      <c r="C75" s="48"/>
      <c r="D75" s="36"/>
      <c r="E75" s="36"/>
      <c r="F75" s="47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1:19" ht="14.5" x14ac:dyDescent="0.35">
      <c r="A76" s="36"/>
      <c r="B76" s="36"/>
      <c r="C76" s="48"/>
      <c r="D76" s="36"/>
      <c r="E76" s="36"/>
      <c r="F76" s="47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spans="1:19" ht="14.5" x14ac:dyDescent="0.35">
      <c r="A77" s="36"/>
      <c r="B77" s="36"/>
      <c r="C77" s="48"/>
      <c r="D77" s="36"/>
      <c r="E77" s="36"/>
      <c r="F77" s="47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1:19" ht="14.5" x14ac:dyDescent="0.35">
      <c r="A78" s="36"/>
      <c r="B78" s="36"/>
      <c r="C78" s="48"/>
      <c r="D78" s="36"/>
      <c r="E78" s="36"/>
      <c r="F78" s="47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 spans="1:19" ht="14.5" x14ac:dyDescent="0.3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46"/>
      <c r="M79" s="46"/>
      <c r="N79" s="46"/>
      <c r="O79" s="46"/>
      <c r="P79" s="46"/>
      <c r="Q79" s="46"/>
      <c r="R79" s="46"/>
      <c r="S79" s="36"/>
    </row>
  </sheetData>
  <mergeCells count="3">
    <mergeCell ref="B27:B54"/>
    <mergeCell ref="B3:B26"/>
    <mergeCell ref="B55:B56"/>
  </mergeCells>
  <conditionalFormatting sqref="G4:G54">
    <cfRule type="dataBar" priority="36511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{FA2BCF38-845B-40B7-A5C0-4F2EE45977D3}</x14:id>
        </ext>
      </extLst>
    </cfRule>
  </conditionalFormatting>
  <conditionalFormatting sqref="G4:G56">
    <cfRule type="dataBar" priority="36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{3E4BBECB-9997-47F3-AC1F-CEBC51AF89E1}</x14:id>
        </ext>
      </extLst>
    </cfRule>
    <cfRule type="dataBar" priority="36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{89275E61-5761-4641-95F3-AE202B5C6A8A}</x14:id>
        </ext>
      </extLst>
    </cfRule>
    <cfRule type="dataBar" priority="3651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{15E3AC79-2D32-4974-958B-945D472E6CBE}</x14:id>
        </ext>
      </extLst>
    </cfRule>
    <cfRule type="dataBar" priority="36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{6F4A8444-2B96-48CB-AEC5-0419B34756A6}</x14:id>
        </ext>
      </extLst>
    </cfRule>
    <cfRule type="dataBar" priority="36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{A25960FF-BB33-4200-AB1F-FB925B5B3C2D}</x14:id>
        </ext>
      </extLst>
    </cfRule>
    <cfRule type="dataBar" priority="36518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{BA6669D5-D865-4713-90C8-92EA96DE2E23}</x14:id>
        </ext>
      </extLst>
    </cfRule>
  </conditionalFormatting>
  <conditionalFormatting sqref="G55">
    <cfRule type="dataBar" priority="35158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{9B403E89-BFF3-470C-ACA1-BD0F3572DB01}</x14:id>
        </ext>
      </extLst>
    </cfRule>
  </conditionalFormatting>
  <conditionalFormatting sqref="G56">
    <cfRule type="dataBar" priority="35331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{BB48DA9B-AD4C-473B-9DD3-255E59B2EFEB}</x14:id>
        </ext>
      </extLst>
    </cfRule>
  </conditionalFormatting>
  <conditionalFormatting sqref="G4:H56">
    <cfRule type="dataBar" priority="3652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{94FCED6A-09E3-4788-AB90-420B5869B744}</x14:id>
        </ext>
      </extLst>
    </cfRule>
    <cfRule type="dataBar" priority="36526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{6D434B5D-E210-40F6-A18F-C82CAA1CAEE7}</x14:id>
        </ext>
      </extLst>
    </cfRule>
    <cfRule type="dataBar" priority="36527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{16AD5C29-6832-4B84-B1B7-361172AD5FC5}</x14:id>
        </ext>
      </extLst>
    </cfRule>
    <cfRule type="dataBar" priority="36528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{44E63E9C-446F-4442-9B0C-8AB89F97E4E4}</x14:id>
        </ext>
      </extLst>
    </cfRule>
  </conditionalFormatting>
  <conditionalFormatting sqref="H4:H55">
    <cfRule type="dataBar" priority="36533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{D9BAFE5F-E8C6-4761-AB03-A7DEC48E565D}</x14:id>
        </ext>
      </extLst>
    </cfRule>
  </conditionalFormatting>
  <conditionalFormatting sqref="H4:H56">
    <cfRule type="dataBar" priority="36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{329BA9CC-3C04-4941-B0DD-70753AA29467}</x14:id>
        </ext>
      </extLst>
    </cfRule>
    <cfRule type="dataBar" priority="36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{5D72FFB2-C866-4767-8EDF-44378936A57D}</x14:id>
        </ext>
      </extLst>
    </cfRule>
    <cfRule type="dataBar" priority="36537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{E0B6E002-5B88-47D3-8FE1-4DCB3484F66F}</x14:id>
        </ext>
      </extLst>
    </cfRule>
    <cfRule type="dataBar" priority="36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{14975666-42E5-4B62-A4F6-F5F424CE0DA0}</x14:id>
        </ext>
      </extLst>
    </cfRule>
    <cfRule type="dataBar" priority="36539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{8F1721DD-FE69-499F-A788-C0F401B09A88}</x14:id>
        </ext>
      </extLst>
    </cfRule>
    <cfRule type="dataBar" priority="36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{19A12ADF-1AF5-43AC-9669-5F417861D8B2}</x14:id>
        </ext>
      </extLst>
    </cfRule>
  </conditionalFormatting>
  <conditionalFormatting sqref="H55">
    <cfRule type="dataBar" priority="35159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{E2120ECE-22E2-42C0-9685-C6724FEACA45}</x14:id>
        </ext>
      </extLst>
    </cfRule>
  </conditionalFormatting>
  <conditionalFormatting sqref="H56">
    <cfRule type="dataBar" priority="35332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{BD795E73-3A09-4FDB-A560-902D698CD42B}</x14:id>
        </ext>
      </extLst>
    </cfRule>
  </conditionalFormatting>
  <conditionalFormatting sqref="J4:J54">
    <cfRule type="dataBar" priority="36547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{A48E2F50-E9B9-461B-9F96-7591AF4E799E}</x14:id>
        </ext>
      </extLst>
    </cfRule>
  </conditionalFormatting>
  <conditionalFormatting sqref="J4:J56">
    <cfRule type="dataBar" priority="2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{7C7F865C-94AE-425F-B216-8D370F78B5C9}</x14:id>
        </ext>
      </extLst>
    </cfRule>
    <cfRule type="dataBar" priority="36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{E3C222C3-A4ED-4739-93EB-FA44C36F46A9}</x14:id>
        </ext>
      </extLst>
    </cfRule>
    <cfRule type="dataBar" priority="36550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{EE1DD84D-4F6A-4DA0-995E-9E857FBD13DC}</x14:id>
        </ext>
      </extLst>
    </cfRule>
    <cfRule type="dataBar" priority="36551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{74FDD040-F976-4665-8C2A-98D70FB9858A}</x14:id>
        </ext>
      </extLst>
    </cfRule>
    <cfRule type="dataBar" priority="36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{3A4C34C1-9B7D-45B9-899A-E7F97E47DCEB}</x14:id>
        </ext>
      </extLst>
    </cfRule>
    <cfRule type="dataBar" priority="36553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{DABB556D-0AAA-4594-B1C0-15B346C4FB1B}</x14:id>
        </ext>
      </extLst>
    </cfRule>
    <cfRule type="dataBar" priority="36554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{F6934CCB-2AAB-4069-9582-B2FA09171ACB}</x14:id>
        </ext>
      </extLst>
    </cfRule>
    <cfRule type="dataBar" priority="3655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{D484B8FA-37D1-404B-A049-1B913E3727AD}</x14:id>
        </ext>
      </extLst>
    </cfRule>
    <cfRule type="dataBar" priority="36556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{4CF7087F-4C21-4D9B-8479-503C78DD9345}</x14:id>
        </ext>
      </extLst>
    </cfRule>
    <cfRule type="dataBar" priority="36557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{7BAA81F5-2BD5-447E-A0C2-96B3F0D7403E}</x14:id>
        </ext>
      </extLst>
    </cfRule>
    <cfRule type="dataBar" priority="36558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{0B73EE61-8F98-4E95-9C25-58953C6A80CB}</x14:id>
        </ext>
      </extLst>
    </cfRule>
    <cfRule type="dataBar" priority="36559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{450246E2-D8EA-40E1-9EBF-539824CA1568}</x14:id>
        </ext>
      </extLst>
    </cfRule>
    <cfRule type="dataBar" priority="36560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{06668706-D6CE-4B0E-8821-C6835E9FB0EF}</x14:id>
        </ext>
      </extLst>
    </cfRule>
    <cfRule type="dataBar" priority="36561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{A6409652-CDCE-4CA8-AEE6-07943FB3B22F}</x14:id>
        </ext>
      </extLst>
    </cfRule>
  </conditionalFormatting>
  <conditionalFormatting sqref="J55">
    <cfRule type="dataBar" priority="35162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{AADB5EEA-E30A-4165-A38C-E76EF417DD01}</x14:id>
        </ext>
      </extLst>
    </cfRule>
  </conditionalFormatting>
  <conditionalFormatting sqref="J56">
    <cfRule type="dataBar" priority="35333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{4D71FC36-116D-413C-8D7C-DAC30D2F4493}</x14:id>
        </ext>
      </extLst>
    </cfRule>
  </conditionalFormatting>
  <conditionalFormatting sqref="J4:K4">
    <cfRule type="dataBar" priority="34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{576FA0C2-33D5-486C-952E-BC227BB0E7F7}</x14:id>
        </ext>
      </extLst>
    </cfRule>
    <cfRule type="dataBar" priority="3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{AFD2E68E-2C91-47ED-850F-CEB3080613EA}</x14:id>
        </ext>
      </extLst>
    </cfRule>
  </conditionalFormatting>
  <conditionalFormatting sqref="J4:K56">
    <cfRule type="dataBar" priority="3657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{C518D620-4E8E-4ADE-BDF5-A0BCE366900A}</x14:id>
        </ext>
      </extLst>
    </cfRule>
    <cfRule type="dataBar" priority="36576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{772DA331-6D76-47D9-8F95-D98D8014ECAD}</x14:id>
        </ext>
      </extLst>
    </cfRule>
    <cfRule type="dataBar" priority="36577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{CAACFD31-4A32-4B6D-BDC4-1EE7631ED329}</x14:id>
        </ext>
      </extLst>
    </cfRule>
    <cfRule type="dataBar" priority="36578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{8E512369-2C0E-43AA-84BE-6EF7896C2366}</x14:id>
        </ext>
      </extLst>
    </cfRule>
    <cfRule type="dataBar" priority="36579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{0F87BE65-BCA8-4C92-A272-A48D6BF1E53B}</x14:id>
        </ext>
      </extLst>
    </cfRule>
  </conditionalFormatting>
  <conditionalFormatting sqref="J5:K56">
    <cfRule type="dataBar" priority="3658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{328F496F-9349-4022-B058-DD6DBC67C759}</x14:id>
        </ext>
      </extLst>
    </cfRule>
    <cfRule type="dataBar" priority="36586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{1ECADF69-3A4D-4830-A1B2-7792E23B67C0}</x14:id>
        </ext>
      </extLst>
    </cfRule>
  </conditionalFormatting>
  <conditionalFormatting sqref="K4:K54">
    <cfRule type="dataBar" priority="36589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{F60A1720-B2BB-48A6-B256-6C2E6EDB8E04}</x14:id>
        </ext>
      </extLst>
    </cfRule>
  </conditionalFormatting>
  <conditionalFormatting sqref="K4:K56">
    <cfRule type="dataBar" priority="1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{AC5DBBD4-BD10-44BF-A45A-AD78E704AD81}</x14:id>
        </ext>
      </extLst>
    </cfRule>
    <cfRule type="dataBar" priority="36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{B4231075-9E94-47C2-9C54-8B56CA42735B}</x14:id>
        </ext>
      </extLst>
    </cfRule>
    <cfRule type="dataBar" priority="36592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{772A948B-7E13-467B-9C93-95DC11CA5A59}</x14:id>
        </ext>
      </extLst>
    </cfRule>
    <cfRule type="dataBar" priority="36593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{60FA3664-C81F-442F-BDBE-13B05FA05E8D}</x14:id>
        </ext>
      </extLst>
    </cfRule>
    <cfRule type="dataBar" priority="36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{66C0A111-2AC3-4CF8-BC14-F967A7142B8B}</x14:id>
        </ext>
      </extLst>
    </cfRule>
    <cfRule type="dataBar" priority="36595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{782C2907-F1C5-4962-836B-AE72C525939F}</x14:id>
        </ext>
      </extLst>
    </cfRule>
    <cfRule type="dataBar" priority="36596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{EF941B31-6D57-4BDC-BEC6-AD60A4714C99}</x14:id>
        </ext>
      </extLst>
    </cfRule>
    <cfRule type="dataBar" priority="36597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{296D34C3-4FED-4103-9185-66DC4CBF05D8}</x14:id>
        </ext>
      </extLst>
    </cfRule>
    <cfRule type="dataBar" priority="36598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{A6A99848-3C17-4A32-B8F7-270513493B0F}</x14:id>
        </ext>
      </extLst>
    </cfRule>
    <cfRule type="dataBar" priority="36599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{F90B5DA8-3BF3-445A-9656-88EBBC0AF568}</x14:id>
        </ext>
      </extLst>
    </cfRule>
    <cfRule type="dataBar" priority="36600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{D26169D0-2FDC-46AA-AF7B-DA0C977BD74E}</x14:id>
        </ext>
      </extLst>
    </cfRule>
    <cfRule type="dataBar" priority="36601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{49556AAB-5CA8-4F82-9AC9-E52EE60AB07C}</x14:id>
        </ext>
      </extLst>
    </cfRule>
    <cfRule type="dataBar" priority="36602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{01686E5D-313D-4CDF-B4D2-705AEB7360F8}</x14:id>
        </ext>
      </extLst>
    </cfRule>
    <cfRule type="dataBar" priority="36603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{BB44B9D4-CD9B-4D13-BB69-31BE1AA90D1D}</x14:id>
        </ext>
      </extLst>
    </cfRule>
  </conditionalFormatting>
  <conditionalFormatting sqref="K55">
    <cfRule type="dataBar" priority="35164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{293F6FBB-2262-43EA-98D1-AD3016DA69E1}</x14:id>
        </ext>
      </extLst>
    </cfRule>
  </conditionalFormatting>
  <conditionalFormatting sqref="K56">
    <cfRule type="dataBar" priority="35334">
      <dataBar>
        <cfvo type="min"/>
        <cfvo type="max"/>
        <color rgb="FF7D613B"/>
      </dataBar>
      <extLst>
        <ext xmlns:x14="http://schemas.microsoft.com/office/spreadsheetml/2009/9/main" uri="{B025F937-C7B1-47D3-B67F-A62EFF666E3E}">
          <x14:id>{64E8848D-0CBB-4876-82C8-C5C07BB072EF}</x14:id>
        </ext>
      </extLst>
    </cfRule>
  </conditionalFormatting>
  <pageMargins left="0.25" right="0.25" top="0.75" bottom="0.75" header="0.3" footer="0.3"/>
  <pageSetup scale="6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2BCF38-845B-40B7-A5C0-4F2EE45977D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G4:G54</xm:sqref>
        </x14:conditionalFormatting>
        <x14:conditionalFormatting xmlns:xm="http://schemas.microsoft.com/office/excel/2006/main">
          <x14:cfRule type="dataBar" id="{3E4BBECB-9997-47F3-AC1F-CEBC51AF89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275E61-5761-4641-95F3-AE202B5C6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E3AC79-2D32-4974-958B-945D472E6CB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A8444-2B96-48CB-AEC5-0419B3475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5960FF-BB33-4200-AB1F-FB925B5B3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6669D5-D865-4713-90C8-92EA96DE2E2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G4:G56</xm:sqref>
        </x14:conditionalFormatting>
        <x14:conditionalFormatting xmlns:xm="http://schemas.microsoft.com/office/excel/2006/main">
          <x14:cfRule type="dataBar" id="{9B403E89-BFF3-470C-ACA1-BD0F3572DB0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G55</xm:sqref>
        </x14:conditionalFormatting>
        <x14:conditionalFormatting xmlns:xm="http://schemas.microsoft.com/office/excel/2006/main">
          <x14:cfRule type="dataBar" id="{BB48DA9B-AD4C-473B-9DD3-255E59B2EF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G56</xm:sqref>
        </x14:conditionalFormatting>
        <x14:conditionalFormatting xmlns:xm="http://schemas.microsoft.com/office/excel/2006/main">
          <x14:cfRule type="dataBar" id="{94FCED6A-09E3-4788-AB90-420B5869B7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434B5D-E210-40F6-A18F-C82CAA1CAEE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AD5C29-6832-4B84-B1B7-361172AD5F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63E9C-446F-4442-9B0C-8AB89F97E4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G4:H56</xm:sqref>
        </x14:conditionalFormatting>
        <x14:conditionalFormatting xmlns:xm="http://schemas.microsoft.com/office/excel/2006/main">
          <x14:cfRule type="dataBar" id="{D9BAFE5F-E8C6-4761-AB03-A7DEC48E56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H4:H55</xm:sqref>
        </x14:conditionalFormatting>
        <x14:conditionalFormatting xmlns:xm="http://schemas.microsoft.com/office/excel/2006/main">
          <x14:cfRule type="dataBar" id="{329BA9CC-3C04-4941-B0DD-70753AA294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2FFB2-C866-4767-8EDF-44378936A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B6E002-5B88-47D3-8FE1-4DCB3484F66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975666-42E5-4B62-A4F6-F5F424CE0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1721DD-FE69-499F-A788-C0F401B09A8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A12ADF-1AF5-43AC-9669-5F417861D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H4:H56</xm:sqref>
        </x14:conditionalFormatting>
        <x14:conditionalFormatting xmlns:xm="http://schemas.microsoft.com/office/excel/2006/main">
          <x14:cfRule type="dataBar" id="{E2120ECE-22E2-42C0-9685-C6724FEACA4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H55</xm:sqref>
        </x14:conditionalFormatting>
        <x14:conditionalFormatting xmlns:xm="http://schemas.microsoft.com/office/excel/2006/main">
          <x14:cfRule type="dataBar" id="{BD795E73-3A09-4FDB-A560-902D698CD42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H56</xm:sqref>
        </x14:conditionalFormatting>
        <x14:conditionalFormatting xmlns:xm="http://schemas.microsoft.com/office/excel/2006/main">
          <x14:cfRule type="dataBar" id="{A48E2F50-E9B9-461B-9F96-7591AF4E799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J4:J54</xm:sqref>
        </x14:conditionalFormatting>
        <x14:conditionalFormatting xmlns:xm="http://schemas.microsoft.com/office/excel/2006/main">
          <x14:cfRule type="dataBar" id="{7C7F865C-94AE-425F-B216-8D370F78B5C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C222C3-A4ED-4739-93EB-FA44C36F4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1DD84D-4F6A-4DA0-995E-9E857FBD13D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FDD040-F976-4665-8C2A-98D70FB9858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4C34C1-9B7D-45B9-899A-E7F97E47DC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BB556D-0AAA-4594-B1C0-15B346C4FB1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934CCB-2AAB-4069-9582-B2FA09171AC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84B8FA-37D1-404B-A049-1B913E3727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F7087F-4C21-4D9B-8479-503C78DD934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AA81F5-2BD5-447E-A0C2-96B3F0D7403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73EE61-8F98-4E95-9C25-58953C6A80C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246E2-D8EA-40E1-9EBF-539824CA156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668706-D6CE-4B0E-8821-C6835E9FB0E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409652-CDCE-4CA8-AEE6-07943FB3B22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J4:J56</xm:sqref>
        </x14:conditionalFormatting>
        <x14:conditionalFormatting xmlns:xm="http://schemas.microsoft.com/office/excel/2006/main">
          <x14:cfRule type="dataBar" id="{AADB5EEA-E30A-4165-A38C-E76EF417DD0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J55</xm:sqref>
        </x14:conditionalFormatting>
        <x14:conditionalFormatting xmlns:xm="http://schemas.microsoft.com/office/excel/2006/main">
          <x14:cfRule type="dataBar" id="{4D71FC36-116D-413C-8D7C-DAC30D2F449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J56</xm:sqref>
        </x14:conditionalFormatting>
        <x14:conditionalFormatting xmlns:xm="http://schemas.microsoft.com/office/excel/2006/main">
          <x14:cfRule type="dataBar" id="{576FA0C2-33D5-486C-952E-BC227BB0E7F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D2E68E-2C91-47ED-850F-CEB3080613E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J4:K4</xm:sqref>
        </x14:conditionalFormatting>
        <x14:conditionalFormatting xmlns:xm="http://schemas.microsoft.com/office/excel/2006/main">
          <x14:cfRule type="dataBar" id="{C518D620-4E8E-4ADE-BDF5-A0BCE366900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DA331-6D76-47D9-8F95-D98D8014EC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ACFD31-4A32-4B6D-BDC4-1EE7631ED32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512369-2C0E-43AA-84BE-6EF7896C236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87BE65-BCA8-4C92-A272-A48D6BF1E53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J4:K56</xm:sqref>
        </x14:conditionalFormatting>
        <x14:conditionalFormatting xmlns:xm="http://schemas.microsoft.com/office/excel/2006/main">
          <x14:cfRule type="dataBar" id="{328F496F-9349-4022-B058-DD6DBC67C75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CADF69-3A4D-4830-A1B2-7792E23B67C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J5:K56</xm:sqref>
        </x14:conditionalFormatting>
        <x14:conditionalFormatting xmlns:xm="http://schemas.microsoft.com/office/excel/2006/main">
          <x14:cfRule type="dataBar" id="{F60A1720-B2BB-48A6-B256-6C2E6EDB8E0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K4:K54</xm:sqref>
        </x14:conditionalFormatting>
        <x14:conditionalFormatting xmlns:xm="http://schemas.microsoft.com/office/excel/2006/main">
          <x14:cfRule type="dataBar" id="{AC5DBBD4-BD10-44BF-A45A-AD78E704AD8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231075-9E94-47C2-9C54-8B56CA4273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A948B-7E13-467B-9C93-95DC11CA5A5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FA3664-C81F-442F-BDBE-13B05FA05E8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C0A111-2AC3-4CF8-BC14-F967A7142B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C2907-F1C5-4962-836B-AE72C525939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941B31-6D57-4BDC-BEC6-AD60A4714C9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6D34C3-4FED-4103-9185-66DC4CBF05D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A99848-3C17-4A32-B8F7-270513493B0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0B5DA8-3BF3-445A-9656-88EBBC0AF56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6169D0-2FDC-46AA-AF7B-DA0C977BD74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556AAB-5CA8-4F82-9AC9-E52EE60AB07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686E5D-313D-4CDF-B4D2-705AEB7360F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44B9D4-CD9B-4D13-BB69-31BE1AA90D1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K4:K56</xm:sqref>
        </x14:conditionalFormatting>
        <x14:conditionalFormatting xmlns:xm="http://schemas.microsoft.com/office/excel/2006/main">
          <x14:cfRule type="dataBar" id="{293F6FBB-2262-43EA-98D1-AD3016DA69E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K55</xm:sqref>
        </x14:conditionalFormatting>
        <x14:conditionalFormatting xmlns:xm="http://schemas.microsoft.com/office/excel/2006/main">
          <x14:cfRule type="dataBar" id="{64E8848D-0CBB-4876-82C8-C5C07BB072E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EE2C-0E2D-4B01-8CE0-B1A123AA4BB1}">
  <dimension ref="A1:R35"/>
  <sheetViews>
    <sheetView zoomScale="120" zoomScaleNormal="120" workbookViewId="0">
      <selection activeCell="E13" sqref="E13"/>
    </sheetView>
  </sheetViews>
  <sheetFormatPr defaultRowHeight="15" customHeight="1" x14ac:dyDescent="0.35"/>
  <cols>
    <col min="1" max="1" width="1.7265625" customWidth="1"/>
    <col min="2" max="2" width="16.7265625" customWidth="1"/>
    <col min="3" max="3" width="11.26953125" bestFit="1" customWidth="1"/>
    <col min="4" max="4" width="9.81640625" bestFit="1" customWidth="1"/>
    <col min="5" max="7" width="9.26953125" customWidth="1"/>
    <col min="8" max="8" width="9.81640625" bestFit="1" customWidth="1"/>
    <col min="9" max="9" width="1.54296875" customWidth="1"/>
    <col min="10" max="10" width="19.1796875" customWidth="1"/>
    <col min="11" max="11" width="7.1796875" customWidth="1"/>
    <col min="12" max="12" width="3.1796875" customWidth="1"/>
    <col min="13" max="13" width="13.81640625" customWidth="1"/>
    <col min="14" max="17" width="9.1796875" bestFit="1" customWidth="1"/>
  </cols>
  <sheetData>
    <row r="1" spans="1:18" ht="10.5" customHeight="1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8" ht="21" customHeight="1" thickBot="1" x14ac:dyDescent="0.4">
      <c r="A2" s="7"/>
      <c r="B2" s="110" t="s">
        <v>87</v>
      </c>
      <c r="C2" s="111"/>
      <c r="D2" s="112"/>
      <c r="E2" s="112"/>
      <c r="F2" s="112"/>
      <c r="G2" s="112"/>
      <c r="H2" s="113"/>
      <c r="I2" s="7"/>
      <c r="J2" s="8" t="s">
        <v>60</v>
      </c>
      <c r="K2" s="9"/>
      <c r="L2" s="9"/>
      <c r="M2" s="10" t="s">
        <v>61</v>
      </c>
      <c r="N2" s="7"/>
      <c r="O2" s="7"/>
      <c r="P2" s="7"/>
      <c r="Q2" s="7"/>
      <c r="R2" s="7"/>
    </row>
    <row r="3" spans="1:18" thickTop="1" x14ac:dyDescent="0.35">
      <c r="A3" s="7"/>
      <c r="B3" s="120" t="s">
        <v>62</v>
      </c>
      <c r="C3" s="11" t="s">
        <v>5</v>
      </c>
      <c r="D3" s="12">
        <v>5025</v>
      </c>
      <c r="E3" s="12">
        <v>5042</v>
      </c>
      <c r="F3" s="12">
        <v>5116</v>
      </c>
      <c r="G3" s="12">
        <v>5126</v>
      </c>
      <c r="H3" s="44">
        <v>5157</v>
      </c>
      <c r="I3" s="7"/>
      <c r="J3" s="13" t="s">
        <v>63</v>
      </c>
      <c r="K3" s="41">
        <v>150000</v>
      </c>
      <c r="L3" s="42"/>
      <c r="M3" s="14" t="s">
        <v>64</v>
      </c>
      <c r="N3" s="7"/>
      <c r="O3" s="7"/>
      <c r="P3" s="7"/>
      <c r="Q3" s="7"/>
      <c r="R3" s="7"/>
    </row>
    <row r="4" spans="1:18" ht="14.5" x14ac:dyDescent="0.35">
      <c r="A4" s="7"/>
      <c r="B4" s="121"/>
      <c r="C4" s="15" t="s">
        <v>11</v>
      </c>
      <c r="D4" s="109" t="s">
        <v>65</v>
      </c>
      <c r="E4" s="109" t="s">
        <v>65</v>
      </c>
      <c r="F4" s="109" t="s">
        <v>65</v>
      </c>
      <c r="G4" s="109" t="s">
        <v>65</v>
      </c>
      <c r="H4" s="102" t="s">
        <v>65</v>
      </c>
      <c r="I4" s="7"/>
      <c r="J4" s="13" t="s">
        <v>66</v>
      </c>
      <c r="K4" s="41">
        <v>200000</v>
      </c>
      <c r="L4" s="42"/>
      <c r="M4" s="14" t="s">
        <v>64</v>
      </c>
      <c r="N4" s="7"/>
      <c r="O4" s="7"/>
      <c r="P4" s="7"/>
      <c r="Q4" s="7"/>
      <c r="R4" s="7"/>
    </row>
    <row r="5" spans="1:18" ht="14.5" x14ac:dyDescent="0.35">
      <c r="A5" s="7"/>
      <c r="B5" s="121"/>
      <c r="C5" s="16" t="s">
        <v>6</v>
      </c>
      <c r="D5" s="5">
        <v>1999</v>
      </c>
      <c r="E5" s="5">
        <v>1999</v>
      </c>
      <c r="F5" s="5">
        <v>2000</v>
      </c>
      <c r="G5" s="5">
        <v>2000</v>
      </c>
      <c r="H5" s="17">
        <v>2001</v>
      </c>
      <c r="I5" s="7"/>
      <c r="J5" s="13" t="s">
        <v>77</v>
      </c>
      <c r="K5" s="41">
        <v>350000</v>
      </c>
      <c r="L5" s="42"/>
      <c r="M5" s="14" t="s">
        <v>64</v>
      </c>
      <c r="N5" s="7"/>
      <c r="O5" s="7"/>
      <c r="P5" s="7"/>
      <c r="Q5" s="7"/>
      <c r="R5" s="7"/>
    </row>
    <row r="6" spans="1:18" ht="14.5" x14ac:dyDescent="0.35">
      <c r="A6" s="7"/>
      <c r="B6" s="121"/>
      <c r="C6" s="16" t="s">
        <v>7</v>
      </c>
      <c r="D6" s="5">
        <v>1999</v>
      </c>
      <c r="E6" s="5">
        <v>1999</v>
      </c>
      <c r="F6" s="5">
        <v>2000</v>
      </c>
      <c r="G6" s="5">
        <v>2000</v>
      </c>
      <c r="H6" s="17">
        <v>2001</v>
      </c>
      <c r="I6" s="7"/>
      <c r="J6" s="13" t="s">
        <v>67</v>
      </c>
      <c r="K6" s="41">
        <v>65000</v>
      </c>
      <c r="L6" s="42"/>
      <c r="M6" s="14" t="s">
        <v>64</v>
      </c>
      <c r="N6" s="7"/>
      <c r="O6" s="7"/>
      <c r="P6" s="7"/>
      <c r="Q6" s="7"/>
      <c r="R6" s="7"/>
    </row>
    <row r="7" spans="1:18" ht="14.5" x14ac:dyDescent="0.35">
      <c r="A7" s="7"/>
      <c r="B7" s="121"/>
      <c r="C7" s="16" t="s">
        <v>8</v>
      </c>
      <c r="D7" s="5" t="s">
        <v>151</v>
      </c>
      <c r="E7" s="5" t="s">
        <v>97</v>
      </c>
      <c r="F7" s="5" t="s">
        <v>153</v>
      </c>
      <c r="G7" s="5" t="s">
        <v>154</v>
      </c>
      <c r="H7" s="17" t="s">
        <v>152</v>
      </c>
      <c r="I7" s="7"/>
      <c r="J7" s="13" t="s">
        <v>25</v>
      </c>
      <c r="K7" s="41">
        <v>25000</v>
      </c>
      <c r="L7" s="42"/>
      <c r="M7" s="14" t="s">
        <v>64</v>
      </c>
      <c r="N7" s="7"/>
      <c r="O7" s="7"/>
      <c r="P7" s="7"/>
      <c r="Q7" s="7"/>
      <c r="R7" s="7"/>
    </row>
    <row r="8" spans="1:18" ht="14.5" x14ac:dyDescent="0.35">
      <c r="A8" s="7"/>
      <c r="B8" s="122"/>
      <c r="C8" s="16" t="s">
        <v>68</v>
      </c>
      <c r="D8" s="5">
        <v>7728</v>
      </c>
      <c r="E8" s="5">
        <v>7516</v>
      </c>
      <c r="F8" s="6">
        <v>13723</v>
      </c>
      <c r="G8" s="5">
        <v>11561</v>
      </c>
      <c r="H8" s="17">
        <v>9443</v>
      </c>
      <c r="I8" s="7"/>
      <c r="J8" s="13" t="s">
        <v>32</v>
      </c>
      <c r="K8" s="41">
        <v>35000</v>
      </c>
      <c r="L8" s="42"/>
      <c r="M8" s="14" t="s">
        <v>64</v>
      </c>
      <c r="N8" s="7"/>
      <c r="O8" s="7"/>
      <c r="P8" s="7"/>
      <c r="Q8" s="7"/>
      <c r="R8" s="7"/>
    </row>
    <row r="9" spans="1:18" ht="14.5" x14ac:dyDescent="0.35">
      <c r="A9" s="7"/>
      <c r="B9" s="123" t="s">
        <v>70</v>
      </c>
      <c r="C9" s="18" t="s">
        <v>71</v>
      </c>
      <c r="D9" s="19">
        <v>2806688</v>
      </c>
      <c r="E9" s="19">
        <v>2806688</v>
      </c>
      <c r="F9" s="19">
        <v>2989732</v>
      </c>
      <c r="G9" s="19">
        <v>2989732</v>
      </c>
      <c r="H9" s="20">
        <v>3109322</v>
      </c>
      <c r="I9" s="7"/>
      <c r="J9" s="13" t="s">
        <v>69</v>
      </c>
      <c r="K9" s="41">
        <v>150000</v>
      </c>
      <c r="L9" s="42"/>
      <c r="M9" s="14" t="s">
        <v>64</v>
      </c>
      <c r="N9" s="7"/>
      <c r="O9" s="7"/>
      <c r="P9" s="7"/>
      <c r="Q9" s="7"/>
      <c r="R9" s="7"/>
    </row>
    <row r="10" spans="1:18" ht="14.5" x14ac:dyDescent="0.35">
      <c r="A10" s="7"/>
      <c r="B10" s="124"/>
      <c r="C10" s="21" t="s">
        <v>73</v>
      </c>
      <c r="D10" s="22">
        <v>2441818</v>
      </c>
      <c r="E10" s="22">
        <v>2441818</v>
      </c>
      <c r="F10" s="22">
        <v>2601067</v>
      </c>
      <c r="G10" s="22">
        <v>2601067</v>
      </c>
      <c r="H10" s="23">
        <v>2705110</v>
      </c>
      <c r="I10" s="7"/>
      <c r="J10" s="13" t="s">
        <v>72</v>
      </c>
      <c r="K10" s="41">
        <v>200000</v>
      </c>
      <c r="L10" s="42"/>
      <c r="M10" s="14" t="s">
        <v>64</v>
      </c>
      <c r="N10" s="7"/>
      <c r="O10" s="7"/>
      <c r="P10" s="7"/>
      <c r="Q10" s="7"/>
      <c r="R10" s="7"/>
    </row>
    <row r="11" spans="1:18" ht="14.5" x14ac:dyDescent="0.35">
      <c r="A11" s="7"/>
      <c r="B11" s="106" t="s">
        <v>75</v>
      </c>
      <c r="C11" s="16" t="s">
        <v>2</v>
      </c>
      <c r="D11" s="24">
        <v>80940</v>
      </c>
      <c r="E11" s="24">
        <v>88996</v>
      </c>
      <c r="F11" s="24">
        <v>-177954</v>
      </c>
      <c r="G11" s="24">
        <v>-87150</v>
      </c>
      <c r="H11" s="20">
        <v>-11515</v>
      </c>
      <c r="I11" s="7"/>
      <c r="J11" s="13" t="s">
        <v>79</v>
      </c>
      <c r="K11" s="41">
        <v>500000</v>
      </c>
      <c r="L11" s="42"/>
      <c r="M11" s="14" t="s">
        <v>88</v>
      </c>
      <c r="N11" s="7"/>
      <c r="O11" s="7"/>
      <c r="P11" s="7"/>
      <c r="Q11" s="7"/>
      <c r="R11" s="7"/>
    </row>
    <row r="12" spans="1:18" ht="14.5" x14ac:dyDescent="0.35">
      <c r="A12" s="7"/>
      <c r="B12" s="108"/>
      <c r="C12" s="16" t="s">
        <v>16</v>
      </c>
      <c r="D12" s="24">
        <v>-1392000</v>
      </c>
      <c r="E12" s="24">
        <v>-797000</v>
      </c>
      <c r="F12" s="24">
        <v>0</v>
      </c>
      <c r="G12" s="24">
        <v>0</v>
      </c>
      <c r="H12" s="25">
        <v>0</v>
      </c>
      <c r="I12" s="7"/>
      <c r="J12" s="13" t="s">
        <v>155</v>
      </c>
      <c r="K12" s="41">
        <v>100000</v>
      </c>
      <c r="L12" s="42"/>
      <c r="M12" s="14" t="s">
        <v>88</v>
      </c>
      <c r="N12" s="7"/>
      <c r="O12" s="7"/>
      <c r="P12" s="7"/>
      <c r="Q12" s="7"/>
      <c r="R12" s="7"/>
    </row>
    <row r="13" spans="1:18" ht="14.5" x14ac:dyDescent="0.35">
      <c r="A13" s="7"/>
      <c r="B13" s="107"/>
      <c r="C13" s="16" t="s">
        <v>156</v>
      </c>
      <c r="D13" s="24">
        <v>1115000</v>
      </c>
      <c r="E13" s="24">
        <v>1270000</v>
      </c>
      <c r="F13" s="24">
        <v>0</v>
      </c>
      <c r="G13" s="24">
        <v>0</v>
      </c>
      <c r="H13" s="23">
        <v>0</v>
      </c>
      <c r="I13" s="7"/>
      <c r="J13" s="13" t="s">
        <v>74</v>
      </c>
      <c r="K13" s="41">
        <v>85500</v>
      </c>
      <c r="L13" s="42"/>
      <c r="M13" s="14" t="s">
        <v>88</v>
      </c>
      <c r="N13" s="7"/>
      <c r="O13" s="7"/>
      <c r="P13" s="7"/>
      <c r="Q13" s="7"/>
      <c r="R13" s="7"/>
    </row>
    <row r="14" spans="1:18" ht="14.5" x14ac:dyDescent="0.35">
      <c r="A14" s="7"/>
      <c r="B14" s="125" t="s">
        <v>76</v>
      </c>
      <c r="C14" s="18" t="s">
        <v>20</v>
      </c>
      <c r="D14" s="19">
        <f>K3</f>
        <v>150000</v>
      </c>
      <c r="E14" s="19">
        <v>0</v>
      </c>
      <c r="F14" s="19">
        <f>0.7*K3</f>
        <v>105000</v>
      </c>
      <c r="G14" s="19">
        <v>0</v>
      </c>
      <c r="H14" s="20">
        <f>0.1*K3</f>
        <v>15000</v>
      </c>
      <c r="I14" s="7"/>
      <c r="J14" s="28" t="s">
        <v>89</v>
      </c>
      <c r="K14" s="43">
        <v>-80000</v>
      </c>
      <c r="L14" s="35"/>
      <c r="M14" s="29" t="s">
        <v>64</v>
      </c>
      <c r="N14" s="7"/>
      <c r="O14" s="7"/>
      <c r="P14" s="7"/>
      <c r="Q14" s="7"/>
      <c r="R14" s="7"/>
    </row>
    <row r="15" spans="1:18" ht="14.5" x14ac:dyDescent="0.35">
      <c r="A15" s="7"/>
      <c r="B15" s="126"/>
      <c r="C15" s="16" t="s">
        <v>21</v>
      </c>
      <c r="D15" s="26">
        <v>0</v>
      </c>
      <c r="E15" s="26">
        <v>90000</v>
      </c>
      <c r="F15" s="26">
        <f>0.3*K4</f>
        <v>60000</v>
      </c>
      <c r="G15" s="26">
        <v>0</v>
      </c>
      <c r="H15" s="27">
        <f>0.1*K4</f>
        <v>20000</v>
      </c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4.5" x14ac:dyDescent="0.35">
      <c r="A16" s="7"/>
      <c r="B16" s="126"/>
      <c r="C16" s="16" t="s">
        <v>77</v>
      </c>
      <c r="D16" s="26">
        <f>K5</f>
        <v>350000</v>
      </c>
      <c r="E16" s="26">
        <v>350000</v>
      </c>
      <c r="F16" s="26">
        <v>0</v>
      </c>
      <c r="G16" s="26">
        <v>0</v>
      </c>
      <c r="H16" s="27">
        <f>K5</f>
        <v>350000</v>
      </c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4.5" x14ac:dyDescent="0.35">
      <c r="A17" s="7"/>
      <c r="B17" s="126"/>
      <c r="C17" s="16" t="s">
        <v>79</v>
      </c>
      <c r="D17" s="26">
        <v>0</v>
      </c>
      <c r="E17" s="26">
        <v>0</v>
      </c>
      <c r="F17" s="26">
        <v>0</v>
      </c>
      <c r="G17" s="26">
        <f>K11</f>
        <v>500000</v>
      </c>
      <c r="H17" s="27"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14.5" x14ac:dyDescent="0.35">
      <c r="A18" s="7"/>
      <c r="B18" s="126"/>
      <c r="C18" s="16" t="s">
        <v>155</v>
      </c>
      <c r="D18" s="26">
        <v>0</v>
      </c>
      <c r="E18" s="26">
        <v>100000</v>
      </c>
      <c r="F18" s="26">
        <v>0</v>
      </c>
      <c r="G18" s="26">
        <f>K12</f>
        <v>100000</v>
      </c>
      <c r="H18" s="27">
        <f>K12</f>
        <v>100000</v>
      </c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4.5" x14ac:dyDescent="0.35">
      <c r="A19" s="7"/>
      <c r="B19" s="126"/>
      <c r="C19" s="16" t="s">
        <v>78</v>
      </c>
      <c r="D19" s="26">
        <v>0</v>
      </c>
      <c r="E19" s="26">
        <v>175000</v>
      </c>
      <c r="F19" s="26">
        <f>K8</f>
        <v>35000</v>
      </c>
      <c r="G19" s="26">
        <v>0</v>
      </c>
      <c r="H19" s="27">
        <v>0</v>
      </c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4.5" x14ac:dyDescent="0.35">
      <c r="A20" s="7"/>
      <c r="B20" s="126"/>
      <c r="C20" s="16" t="s">
        <v>74</v>
      </c>
      <c r="D20" s="26">
        <v>0</v>
      </c>
      <c r="E20" s="26">
        <v>85500</v>
      </c>
      <c r="F20" s="26">
        <v>0</v>
      </c>
      <c r="G20" s="26">
        <v>0</v>
      </c>
      <c r="H20" s="27">
        <f>K13</f>
        <v>85500</v>
      </c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4.5" x14ac:dyDescent="0.35">
      <c r="A21" s="7"/>
      <c r="B21" s="127" t="s">
        <v>80</v>
      </c>
      <c r="C21" s="18" t="s">
        <v>71</v>
      </c>
      <c r="D21" s="30">
        <f>SUM(D9,D11:D20)</f>
        <v>3110628</v>
      </c>
      <c r="E21" s="30">
        <f>SUM(E9,E11:E20)</f>
        <v>4169184</v>
      </c>
      <c r="F21" s="30">
        <f>SUM(F9,F11:F20)</f>
        <v>3011778</v>
      </c>
      <c r="G21" s="30">
        <f t="shared" ref="G21:H21" si="0">SUM(G9,G11:G20)</f>
        <v>3502582</v>
      </c>
      <c r="H21" s="39">
        <f t="shared" si="0"/>
        <v>3668307</v>
      </c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4.5" x14ac:dyDescent="0.35">
      <c r="A22" s="7"/>
      <c r="B22" s="128"/>
      <c r="C22" s="21" t="s">
        <v>73</v>
      </c>
      <c r="D22" s="31">
        <f>SUM(D10:D20)</f>
        <v>2745758</v>
      </c>
      <c r="E22" s="31">
        <f>SUM(E10:E20)</f>
        <v>3804314</v>
      </c>
      <c r="F22" s="31">
        <f>SUM(F10:F20)</f>
        <v>2623113</v>
      </c>
      <c r="G22" s="31">
        <f t="shared" ref="G22:H22" si="1">SUM(G10:G20)</f>
        <v>3113917</v>
      </c>
      <c r="H22" s="40">
        <f t="shared" si="1"/>
        <v>3264095</v>
      </c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4.5" x14ac:dyDescent="0.35">
      <c r="A23" s="7"/>
      <c r="B23" s="129" t="s">
        <v>81</v>
      </c>
      <c r="C23" s="16" t="s">
        <v>94</v>
      </c>
      <c r="D23" s="32">
        <v>3500000</v>
      </c>
      <c r="E23" s="32" t="s">
        <v>42</v>
      </c>
      <c r="F23" s="32">
        <v>2995000</v>
      </c>
      <c r="G23" s="32" t="s">
        <v>29</v>
      </c>
      <c r="H23" s="45">
        <v>3850000</v>
      </c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4.5" x14ac:dyDescent="0.35">
      <c r="A24" s="7"/>
      <c r="B24" s="130"/>
      <c r="C24" s="21" t="s">
        <v>82</v>
      </c>
      <c r="D24" s="33">
        <f>D21-D23</f>
        <v>-389372</v>
      </c>
      <c r="E24" s="33" t="s">
        <v>42</v>
      </c>
      <c r="F24" s="33">
        <f>F21-F23</f>
        <v>16778</v>
      </c>
      <c r="G24" s="33" t="s">
        <v>42</v>
      </c>
      <c r="H24" s="34">
        <f>H21-H23</f>
        <v>-181693</v>
      </c>
      <c r="I24" s="7"/>
      <c r="K24" s="7"/>
      <c r="L24" s="7"/>
      <c r="M24" s="7"/>
      <c r="N24" s="7"/>
      <c r="O24" s="7"/>
      <c r="P24" s="7"/>
      <c r="Q24" s="7"/>
      <c r="R24" s="7"/>
    </row>
    <row r="25" spans="1:18" ht="14.5" x14ac:dyDescent="0.35">
      <c r="A25" s="7"/>
      <c r="B25" s="7"/>
      <c r="C25" s="7"/>
      <c r="D25" s="7"/>
      <c r="E25" s="99"/>
      <c r="F25" s="99"/>
      <c r="G25" s="99"/>
      <c r="H25" s="99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4.5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4.5" x14ac:dyDescent="0.35">
      <c r="A27" s="7"/>
      <c r="B27" s="7"/>
      <c r="C27" s="7"/>
      <c r="D27" s="7"/>
      <c r="E27" s="99"/>
      <c r="F27" s="99"/>
      <c r="G27" s="99"/>
      <c r="H27" s="99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4.5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4.5" x14ac:dyDescent="0.35">
      <c r="A29" s="7"/>
      <c r="B29" s="7"/>
      <c r="C29" s="7"/>
      <c r="D29" s="7"/>
      <c r="E29" s="100"/>
      <c r="F29" s="100"/>
      <c r="G29" s="10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4.5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4.5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4.5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4.5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4.5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4.5" x14ac:dyDescent="0.35">
      <c r="A35" s="7"/>
      <c r="J35" s="7"/>
      <c r="K35" s="7"/>
      <c r="L35" s="7"/>
      <c r="M35" s="7"/>
    </row>
  </sheetData>
  <mergeCells count="5">
    <mergeCell ref="B3:B8"/>
    <mergeCell ref="B9:B10"/>
    <mergeCell ref="B14:B20"/>
    <mergeCell ref="B21:B22"/>
    <mergeCell ref="B23:B24"/>
  </mergeCells>
  <phoneticPr fontId="28" type="noConversion"/>
  <conditionalFormatting sqref="J3:J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{1DFE7E27-BBF5-4E48-A598-590DD0FF7F89}</x14:id>
        </ext>
      </extLst>
    </cfRule>
  </conditionalFormatting>
  <conditionalFormatting sqref="J6:J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{034DE4C6-80EE-41A7-9656-2F641110FA2E}</x14:id>
        </ext>
      </extLst>
    </cfRule>
  </conditionalFormatting>
  <conditionalFormatting sqref="J13:J14">
    <cfRule type="dataBar" priority="33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{CDE6BB2E-DB3F-42B3-91C8-C06A14D2AAF3}</x14:id>
        </ext>
      </extLst>
    </cfRule>
  </conditionalFormatting>
  <pageMargins left="0.7" right="0.7" top="0.75" bottom="0.75" header="0.3" footer="0.3"/>
  <pageSetup orientation="portrait" r:id="rId1"/>
  <ignoredErrors>
    <ignoredError sqref="E22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FE7E27-BBF5-4E48-A598-590DD0FF7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034DE4C6-80EE-41A7-9656-2F641110F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J6:J12</xm:sqref>
        </x14:conditionalFormatting>
        <x14:conditionalFormatting xmlns:xm="http://schemas.microsoft.com/office/excel/2006/main">
          <x14:cfRule type="dataBar" id="{CDE6BB2E-DB3F-42B3-91C8-C06A14D2A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J13:J14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358c7f-bae0-44e8-83d9-123e77538465" xsi:nil="true"/>
    <lcf76f155ced4ddcb4097134ff3c332f xmlns="7fc331ef-5d14-4808-be84-f82dd372dbb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CAD88E22129479200593A5DBE85ED" ma:contentTypeVersion="15" ma:contentTypeDescription="Create a new document." ma:contentTypeScope="" ma:versionID="eef2e5fccb436e59c5592087b23a7023">
  <xsd:schema xmlns:xsd="http://www.w3.org/2001/XMLSchema" xmlns:xs="http://www.w3.org/2001/XMLSchema" xmlns:p="http://schemas.microsoft.com/office/2006/metadata/properties" xmlns:ns2="7fc331ef-5d14-4808-be84-f82dd372dbbc" xmlns:ns3="0d358c7f-bae0-44e8-83d9-123e77538465" targetNamespace="http://schemas.microsoft.com/office/2006/metadata/properties" ma:root="true" ma:fieldsID="2675838303787761326c55538b3a26db" ns2:_="" ns3:_="">
    <xsd:import namespace="7fc331ef-5d14-4808-be84-f82dd372dbbc"/>
    <xsd:import namespace="0d358c7f-bae0-44e8-83d9-123e775384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331ef-5d14-4808-be84-f82dd372d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812bb6-d168-40df-845e-f7c79e605e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58c7f-bae0-44e8-83d9-123e775384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a3a55b-c7b6-4801-bca3-ee161488ac73}" ma:internalName="TaxCatchAll" ma:showField="CatchAllData" ma:web="0d358c7f-bae0-44e8-83d9-123e775384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E51FF2-169D-4430-A166-762A390EFAD2}">
  <ds:schemaRefs>
    <ds:schemaRef ds:uri="http://schemas.microsoft.com/office/2006/documentManagement/types"/>
    <ds:schemaRef ds:uri="http://purl.org/dc/elements/1.1/"/>
    <ds:schemaRef ds:uri="7fc331ef-5d14-4808-be84-f82dd372dbbc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d358c7f-bae0-44e8-83d9-123e77538465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E73829C-56C1-4E6E-B2A6-11C2E3EC06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065AC6-1501-4003-82DE-95133D9F1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c331ef-5d14-4808-be84-f82dd372dbbc"/>
    <ds:schemaRef ds:uri="0d358c7f-bae0-44e8-83d9-123e775384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Market XLS+ 02.03.26</vt:lpstr>
      <vt:lpstr>12 Month Sales History XLS+ 10</vt:lpstr>
      <vt:lpstr>Excel Value Analysis 01.07.26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2026-02-13T20:01:59Z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0x0101001D7CAD88E22129479200593A5DBE85ED</vt:lpwstr>
  </property>
  <property fmtid="{D5CDD505-2E9C-101B-9397-08002B2CF9AE}" pid="3" name="MediaServiceImageTags">
    <vt:lpwstr/>
  </property>
</Properties>
</file>